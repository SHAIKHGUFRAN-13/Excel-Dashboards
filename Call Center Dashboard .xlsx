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eak" sheetId="1" r:id="rId5"/>
    <sheet state="visible" name="Efficiency" sheetId="2" r:id="rId6"/>
    <sheet state="visible" name="OverAll Performance" sheetId="3" r:id="rId7"/>
    <sheet state="visible" name="Summary" sheetId="4" r:id="rId8"/>
    <sheet state="visible" name="Dashboard" sheetId="5" r:id="rId9"/>
    <sheet state="visible" name="Tables" sheetId="6" r:id="rId10"/>
  </sheets>
  <definedNames/>
  <calcPr/>
</workbook>
</file>

<file path=xl/sharedStrings.xml><?xml version="1.0" encoding="utf-8"?>
<sst xmlns="http://schemas.openxmlformats.org/spreadsheetml/2006/main" count="793" uniqueCount="330">
  <si>
    <t>Employee</t>
  </si>
  <si>
    <t>Lunch</t>
  </si>
  <si>
    <t>Normal Break</t>
  </si>
  <si>
    <t>Feedback</t>
  </si>
  <si>
    <t>Training</t>
  </si>
  <si>
    <t>Meeting</t>
  </si>
  <si>
    <t>Unwanted Break</t>
  </si>
  <si>
    <t>Other Work</t>
  </si>
  <si>
    <t>Total Break Taken</t>
  </si>
  <si>
    <t>Mum_Abdul Hamid (1008512)</t>
  </si>
  <si>
    <t>Mum_Afzal Husain (1008513)</t>
  </si>
  <si>
    <t>Mum_Anamika Gupta (1008514)</t>
  </si>
  <si>
    <t>Mum_Anikuttan (1008515)</t>
  </si>
  <si>
    <t>Mum_Anil Kumar (1008516)</t>
  </si>
  <si>
    <t>Mum_Anita Dixit (1008517)</t>
  </si>
  <si>
    <t>Mum_Anita Ghore (1008518)</t>
  </si>
  <si>
    <t>Mum_Anjali Deoram (1008519)</t>
  </si>
  <si>
    <t>Mum_Anjali Sahay (1008520)</t>
  </si>
  <si>
    <t>Mum_Annu Latika (1008521)</t>
  </si>
  <si>
    <t>Mum_Anoop Narayan (1008522)</t>
  </si>
  <si>
    <t>Mum_Anoop Raj (1008523)</t>
  </si>
  <si>
    <t>Mum_Anubhuti Gupta (1008524)</t>
  </si>
  <si>
    <t>Mum_Arun Kumar (1008525)</t>
  </si>
  <si>
    <t>Mum_Ashish Kumar (1008526)</t>
  </si>
  <si>
    <t>Mum_Ashok Kumar (1008527)</t>
  </si>
  <si>
    <t>Hyd_Ashok Kumar (1008528)</t>
  </si>
  <si>
    <t>Hyd_Ashok Kumar (1008529)</t>
  </si>
  <si>
    <t>Hyd_Ashok Kumar (1008530)</t>
  </si>
  <si>
    <t>Hyd_Ashok Mahto (1008531)</t>
  </si>
  <si>
    <t>Hyd_Atul Kumar (1008532)</t>
  </si>
  <si>
    <t>Hyd_Azam (1008533)</t>
  </si>
  <si>
    <t>Hyd_Bhagwat Singh (1008534)</t>
  </si>
  <si>
    <t>Hyd_Bindu Nair (1008535)</t>
  </si>
  <si>
    <t>Hyd_Daleep Singh (1008536)</t>
  </si>
  <si>
    <t>Hyd_Deepak Kumar (1008537)</t>
  </si>
  <si>
    <t>Hyd_Deepika Nigam (1008538)</t>
  </si>
  <si>
    <t>Hyd_Dinesh Kumar (1008539)</t>
  </si>
  <si>
    <t>Hyd_Hari Kumar (1008540)</t>
  </si>
  <si>
    <t>Hyd_Heeramani Choudhary (1008541)</t>
  </si>
  <si>
    <t>Hyd_Indra Pal (1008542)</t>
  </si>
  <si>
    <t>Hyd_Indra Singh (1008543)</t>
  </si>
  <si>
    <t>Hyd_Jagdish Chandra (1008544)</t>
  </si>
  <si>
    <t>Hyd_Jairaj Vatham (1008545)</t>
  </si>
  <si>
    <t>Hyd_Janardan Mishra (1008546)</t>
  </si>
  <si>
    <t>Hyd_Jitendra Kumar (1008547)</t>
  </si>
  <si>
    <t>Hyd_John D'Costa (1008548)</t>
  </si>
  <si>
    <t>Hyd_Julie S (1008549)</t>
  </si>
  <si>
    <t>Hyd_Jyoti Tulsani (1008550)</t>
  </si>
  <si>
    <t>Hyd_Kahkasha Parveen (1008551)</t>
  </si>
  <si>
    <t>Hyd_Kailash Nath (1008552)</t>
  </si>
  <si>
    <t>Hyd_Kalpana Agrawal (1008553)</t>
  </si>
  <si>
    <t>Hyd_Kamini Kumar (1008554)</t>
  </si>
  <si>
    <t>Hyd_Kamini Tiwari (1008555)</t>
  </si>
  <si>
    <t>Hyd_Kavita Sharma (1008556)</t>
  </si>
  <si>
    <t>Hyd_Kiran Khubchandani (1008557)</t>
  </si>
  <si>
    <t>Hyd_Kisun Sah (1008558)</t>
  </si>
  <si>
    <t>Hyd_Krishana Kumar (1008559)</t>
  </si>
  <si>
    <t>Hyd_Kunj Bihari (1008560)</t>
  </si>
  <si>
    <t>Hyd_Leena George (1008561)</t>
  </si>
  <si>
    <t>Hyd_Lilly Lucy (1008562)</t>
  </si>
  <si>
    <t>Hyd_Mangal Singh (1008563)</t>
  </si>
  <si>
    <t>Hyd_Manisha Shrivastava (1008564)</t>
  </si>
  <si>
    <t>Hyd_Manjusha Sinha (1008565)</t>
  </si>
  <si>
    <t>Hyd_ManjuTiwari Lab (1008566)</t>
  </si>
  <si>
    <t>Hyd_Manoj Kumar (1008567)</t>
  </si>
  <si>
    <t>Hyd_Manoj Kumar (1008568)</t>
  </si>
  <si>
    <t>Hyd_Masroor Adil (1008569)</t>
  </si>
  <si>
    <t>Hyd_Meena Zinjare (1008570)</t>
  </si>
  <si>
    <t>Hyd_Mehnaz Khan (1008571)</t>
  </si>
  <si>
    <t>Hyd_Mercy Thampi (1008572)</t>
  </si>
  <si>
    <t>Hyd_Miny Mole (1008573)</t>
  </si>
  <si>
    <t>Hyd_Mohd Rafi (1008574)</t>
  </si>
  <si>
    <t>Hyd_Mubeen Khan (1008575)</t>
  </si>
  <si>
    <t>Hyd_Mukesh Nagar (1008576)</t>
  </si>
  <si>
    <t>Hyd_Nandu Kumar (1008577)</t>
  </si>
  <si>
    <t>Hyd_Narayan Singh (1008578)</t>
  </si>
  <si>
    <t>Hyd_Neeraj Saxena (1008579)</t>
  </si>
  <si>
    <t>Hyd_Neeru Mehta (1008580)</t>
  </si>
  <si>
    <t>Hyd_Nikita Panwalkar (1008581)</t>
  </si>
  <si>
    <t>Hyd_Nitin Bhatia (1008582)</t>
  </si>
  <si>
    <t>Hyd_Om Prakash (1008583)</t>
  </si>
  <si>
    <t>Hyd_Omprakash O (1008584)</t>
  </si>
  <si>
    <t>Hyd_Owais Mohd (1008585)</t>
  </si>
  <si>
    <t>Hyd_Pankaj Shelkey (1008586)</t>
  </si>
  <si>
    <t>Hyd_Partha Sarathi (1008587)</t>
  </si>
  <si>
    <t>Hyd_Prabha Desikan (1008588)</t>
  </si>
  <si>
    <t>Hyd_Pramod Tiwari (1008589)</t>
  </si>
  <si>
    <t>Hyd_Prasannakumari S (1008590)</t>
  </si>
  <si>
    <t>Hyd_Praveen Kumar (1008591)</t>
  </si>
  <si>
    <t>Hyd_Rachel Mathew (1008592)</t>
  </si>
  <si>
    <t>Hyd_Rachita Anupam (1008593)</t>
  </si>
  <si>
    <t>Hyd_Rachna Chauhan (1008594)</t>
  </si>
  <si>
    <t>Hyd_Raj Kumar (1008595)</t>
  </si>
  <si>
    <t>Hyd_Rajeev Garg (1008596)</t>
  </si>
  <si>
    <t>Hyd_Rajeev Kumar (1008597)</t>
  </si>
  <si>
    <t>Hyd_Rajendra Gupta (1008598)</t>
  </si>
  <si>
    <t>Hyd_Rajendra Kumar (1008599)</t>
  </si>
  <si>
    <t>Hyd_Rajendra Prasad (1008600)</t>
  </si>
  <si>
    <t>Hyd_Rajesh Kumar (1008601)</t>
  </si>
  <si>
    <t>Hyd_Rajesh Kumar (1008602)</t>
  </si>
  <si>
    <t>Hyd_Rajesh Sharma (1008603)</t>
  </si>
  <si>
    <t>Hyd_Raji Abraham (1008604)</t>
  </si>
  <si>
    <t>Hyd_Rajshree Dhabekar (1008605)</t>
  </si>
  <si>
    <t>Hyd_Rakhi Jodhani (1008606)</t>
  </si>
  <si>
    <t>Hyd_Ramji Prasad (1008607)</t>
  </si>
  <si>
    <t>Del_Rashid (1008608)</t>
  </si>
  <si>
    <t>Del_Rashmi Gajbe (1008609)</t>
  </si>
  <si>
    <t>Del_Ravi Kumar (1008610)</t>
  </si>
  <si>
    <t>Del_Ravinder Kaur (1008611)</t>
  </si>
  <si>
    <t>Del_Rekha Agarwal (1008612)</t>
  </si>
  <si>
    <t>Del_Rekha Gupta (1008613)</t>
  </si>
  <si>
    <t>Del_Rekha Jain (1008614)</t>
  </si>
  <si>
    <t>Del_Renu Pratap (1008615)</t>
  </si>
  <si>
    <t>Del_Ritu Bhatnagar (1008616)</t>
  </si>
  <si>
    <t>Del_Rohit Nishchal (1008617)</t>
  </si>
  <si>
    <t>Del_Roli Bhatnagar (1008618)</t>
  </si>
  <si>
    <t>Del_Roma Rastogi (1008619)</t>
  </si>
  <si>
    <t>Del_Roohi Haider (1008620)</t>
  </si>
  <si>
    <t>Del_Sajid Naqvi (1008621)</t>
  </si>
  <si>
    <t>Del_Salim (1008622)</t>
  </si>
  <si>
    <t>Del_Sanjay Hire (1008623)</t>
  </si>
  <si>
    <t>Del_Sanjiv Subherwal (1008624)</t>
  </si>
  <si>
    <t>Del_Sanju Ramdas (1008625)</t>
  </si>
  <si>
    <t>Del_Santosh Kumar (1008626)</t>
  </si>
  <si>
    <t>Del_Santosh Kumar (1008627)</t>
  </si>
  <si>
    <t>Del_Santosh Kumar (1008628)</t>
  </si>
  <si>
    <t>Del_Sapna Sharma (1008629)</t>
  </si>
  <si>
    <t>Del_Saroj Parita (1008630)</t>
  </si>
  <si>
    <t>Del_Shailaja Kamal (1008631)</t>
  </si>
  <si>
    <t>Del_Shailendra Barge (1008632)</t>
  </si>
  <si>
    <t>Del_Shankar Attendant (1008633)</t>
  </si>
  <si>
    <t>Del_Shashikant Tiwari (1008634)</t>
  </si>
  <si>
    <t>Del_Sheeba Joseph (1008635)</t>
  </si>
  <si>
    <t>Del_Sheena Joseph (1008636)</t>
  </si>
  <si>
    <t>Del_Shephali Jain (1008637)</t>
  </si>
  <si>
    <t>Del_Shivji Prasad (1008638)</t>
  </si>
  <si>
    <t>Del_Shubhanjali Joshi (1008639)</t>
  </si>
  <si>
    <t>Del_Shyamal Malakar (1008640)</t>
  </si>
  <si>
    <t>Del_Sneh Khan (1008641)</t>
  </si>
  <si>
    <t>Del_Sonaram Munda (1008642)</t>
  </si>
  <si>
    <t>Del_Sudama Kumar (1008643)</t>
  </si>
  <si>
    <t>Del_Sudhir Kumar (1008644)</t>
  </si>
  <si>
    <t>Del_Sunil Kumar (1008645)</t>
  </si>
  <si>
    <t>Del_Sunil Kumar (1008646)</t>
  </si>
  <si>
    <t>Del_Sunita Chawla (1008647)</t>
  </si>
  <si>
    <t>Del_Sunita Madnani (1008648)</t>
  </si>
  <si>
    <t>Del_Surendra Kumar (1008649)</t>
  </si>
  <si>
    <t>Del_Surendranath Thakur (1008650)</t>
  </si>
  <si>
    <t>Del_Sushma Khandelwal (1008651)</t>
  </si>
  <si>
    <t>Del_Swarnlata Borse (1008652)</t>
  </si>
  <si>
    <t>Del_Syed Naved (1008653)</t>
  </si>
  <si>
    <t>Del_Syed Saqib (1008654)</t>
  </si>
  <si>
    <t>Del_Syed Sohail (1008655)</t>
  </si>
  <si>
    <t>Del_System Operator (1008656)</t>
  </si>
  <si>
    <t>Del_Tahira Qureshi (1008657)</t>
  </si>
  <si>
    <t>Del_Tapas Chakraborty (1008658)</t>
  </si>
  <si>
    <t>Del_Tariq Akhlaq (1008659)</t>
  </si>
  <si>
    <t>Del_Tasneem Khan (1008660)</t>
  </si>
  <si>
    <t>Total Working Hours</t>
  </si>
  <si>
    <t>Work Efficiency</t>
  </si>
  <si>
    <t>Attended Calls</t>
  </si>
  <si>
    <t>Efficiency in Percentage</t>
  </si>
  <si>
    <t>Active With Cust.</t>
  </si>
  <si>
    <t>Active Time</t>
  </si>
  <si>
    <t>Other</t>
  </si>
  <si>
    <t>Not Working %</t>
  </si>
  <si>
    <t>Call Keeping</t>
  </si>
  <si>
    <t>Break During Calls</t>
  </si>
  <si>
    <t>Non Break %</t>
  </si>
  <si>
    <t>% Other Work</t>
  </si>
  <si>
    <t>Long Time</t>
  </si>
  <si>
    <t>Short Time Holds</t>
  </si>
  <si>
    <t>Long Call Holds</t>
  </si>
  <si>
    <t>No Hold</t>
  </si>
  <si>
    <t>Transferred calls</t>
  </si>
  <si>
    <t>Call Conferenced</t>
  </si>
  <si>
    <t>Call Redirected</t>
  </si>
  <si>
    <t>Hold Calls</t>
  </si>
  <si>
    <t>% of Calls onHold</t>
  </si>
  <si>
    <t>Average Duration of Calls</t>
  </si>
  <si>
    <t>Avg. In Focus Hold Calls</t>
  </si>
  <si>
    <t>Calls Unattend Time'</t>
  </si>
  <si>
    <t>Emp_id</t>
  </si>
  <si>
    <t>Emp Name</t>
  </si>
  <si>
    <t>Total Number of woking hours</t>
  </si>
  <si>
    <t>Abdul Hamid</t>
  </si>
  <si>
    <t>Afzal Husain</t>
  </si>
  <si>
    <t>Anamika Gupta</t>
  </si>
  <si>
    <t>Anikuttan</t>
  </si>
  <si>
    <t>Anil Kumar</t>
  </si>
  <si>
    <t>Anita Dixit</t>
  </si>
  <si>
    <t>Anita Ghore</t>
  </si>
  <si>
    <t>Anjali Deoram</t>
  </si>
  <si>
    <t>Anjali Sahay</t>
  </si>
  <si>
    <t>Annu Latika</t>
  </si>
  <si>
    <t>Anoop Narayan</t>
  </si>
  <si>
    <t>Anoop Raj</t>
  </si>
  <si>
    <t>Anubhuti Gupta</t>
  </si>
  <si>
    <t>Arun Kumar</t>
  </si>
  <si>
    <t>Ashish Kumar</t>
  </si>
  <si>
    <t>Ashok Kumar</t>
  </si>
  <si>
    <t>Ashok Mahto</t>
  </si>
  <si>
    <t>Atul Kumar</t>
  </si>
  <si>
    <t>Azam</t>
  </si>
  <si>
    <t>Bhagwat Singh</t>
  </si>
  <si>
    <t>Bindu Nair</t>
  </si>
  <si>
    <t>Daleep Singh</t>
  </si>
  <si>
    <t>Deepak Kumar</t>
  </si>
  <si>
    <t>Deepika Nigam</t>
  </si>
  <si>
    <t>Dinesh Kumar</t>
  </si>
  <si>
    <t>Hari Kumar</t>
  </si>
  <si>
    <t>Heeramani Choudhary</t>
  </si>
  <si>
    <t>Indra Pal</t>
  </si>
  <si>
    <t>Indra Singh</t>
  </si>
  <si>
    <t>Jagdish Chandra</t>
  </si>
  <si>
    <t>Jairaj Vatham</t>
  </si>
  <si>
    <t>Janardan Mishra</t>
  </si>
  <si>
    <t>Jitendra Kumar</t>
  </si>
  <si>
    <t>John D'Costa</t>
  </si>
  <si>
    <t>Julie S</t>
  </si>
  <si>
    <t>Jyoti Tulsani</t>
  </si>
  <si>
    <t>Kahkasha Parveen</t>
  </si>
  <si>
    <t>Kailash Nath</t>
  </si>
  <si>
    <t>Kalpana Agrawal</t>
  </si>
  <si>
    <t>Kamini Kumar</t>
  </si>
  <si>
    <t>Kamini Tiwari</t>
  </si>
  <si>
    <t>Kavita Sharma</t>
  </si>
  <si>
    <t>Kiran Khubchandani</t>
  </si>
  <si>
    <t>Kisun Sah</t>
  </si>
  <si>
    <t>Krishana Kumar</t>
  </si>
  <si>
    <t>Kunj Bihari</t>
  </si>
  <si>
    <t>Leena George</t>
  </si>
  <si>
    <t>Lilly Lucy</t>
  </si>
  <si>
    <t>Mangal Singh</t>
  </si>
  <si>
    <t>Manisha Shrivastava</t>
  </si>
  <si>
    <t>Manjusha Sinha</t>
  </si>
  <si>
    <t>ManjuTiwari Lab</t>
  </si>
  <si>
    <t>Manoj Kumar</t>
  </si>
  <si>
    <t>Masroor Adil</t>
  </si>
  <si>
    <t>Meena Zinjare</t>
  </si>
  <si>
    <t>Mehnaz Khan</t>
  </si>
  <si>
    <t>Mercy Thampi</t>
  </si>
  <si>
    <t>Miny Mole</t>
  </si>
  <si>
    <t>Mohd Rafi</t>
  </si>
  <si>
    <t>Mubeen Khan</t>
  </si>
  <si>
    <t>Mukesh Nagar</t>
  </si>
  <si>
    <t>Nandu Kumar</t>
  </si>
  <si>
    <t>Narayan Singh</t>
  </si>
  <si>
    <t>Neeraj Saxena</t>
  </si>
  <si>
    <t>Neeru Mehta</t>
  </si>
  <si>
    <t>Nikita Panwalkar</t>
  </si>
  <si>
    <t>Nitin Bhatia</t>
  </si>
  <si>
    <t>Om Prakash</t>
  </si>
  <si>
    <t>Omprakash O</t>
  </si>
  <si>
    <t>Owais Mohd</t>
  </si>
  <si>
    <t>Pankaj Shelkey</t>
  </si>
  <si>
    <t>Partha Sarathi</t>
  </si>
  <si>
    <t>Prabha Desikan</t>
  </si>
  <si>
    <t>Pramod Tiwari</t>
  </si>
  <si>
    <t>Prasannakumari S</t>
  </si>
  <si>
    <t>Praveen Kumar</t>
  </si>
  <si>
    <t>Rachel Mathew</t>
  </si>
  <si>
    <t>Rachita Anupam</t>
  </si>
  <si>
    <t>Rachna Chauhan</t>
  </si>
  <si>
    <t>Raj Kumar</t>
  </si>
  <si>
    <t>Rajeev Garg</t>
  </si>
  <si>
    <t>Rajeev Kumar</t>
  </si>
  <si>
    <t>Rajendra Gupta</t>
  </si>
  <si>
    <t>Rajendra Kumar</t>
  </si>
  <si>
    <t>Rajendra Prasad</t>
  </si>
  <si>
    <t>Rajesh Kumar</t>
  </si>
  <si>
    <t>Rajesh Sharma</t>
  </si>
  <si>
    <t>Raji Abraham</t>
  </si>
  <si>
    <t>Rajshree Dhabekar</t>
  </si>
  <si>
    <t>Rakhi Jodhani</t>
  </si>
  <si>
    <t>Ramji Prasad</t>
  </si>
  <si>
    <t>Rashid</t>
  </si>
  <si>
    <t>Rashmi Gajbe</t>
  </si>
  <si>
    <t>Ravi Kumar</t>
  </si>
  <si>
    <t>Ravinder Kaur</t>
  </si>
  <si>
    <t>Rekha Agarwal</t>
  </si>
  <si>
    <t>Rekha Gupta</t>
  </si>
  <si>
    <t>Rekha Jain</t>
  </si>
  <si>
    <t>Renu Pratap</t>
  </si>
  <si>
    <t>Ritu Bhatnagar</t>
  </si>
  <si>
    <t>Rohit Nishchal</t>
  </si>
  <si>
    <t>Roli Bhatnagar</t>
  </si>
  <si>
    <t>Roma Rastogi</t>
  </si>
  <si>
    <t>Roohi Haider</t>
  </si>
  <si>
    <t>Sajid Naqvi</t>
  </si>
  <si>
    <t>Salim</t>
  </si>
  <si>
    <t>Sanjay Hire</t>
  </si>
  <si>
    <t>Sanjiv Subherwal</t>
  </si>
  <si>
    <t>Sanju Ramdas</t>
  </si>
  <si>
    <t>Santosh Kumar</t>
  </si>
  <si>
    <t>Sapna Sharma</t>
  </si>
  <si>
    <t>Saroj Parita</t>
  </si>
  <si>
    <t>Shailaja Kamal</t>
  </si>
  <si>
    <t>Shailendra Barge</t>
  </si>
  <si>
    <t>Shankar Attendant</t>
  </si>
  <si>
    <t>Shashikant Tiwari</t>
  </si>
  <si>
    <t>Sheeba Joseph</t>
  </si>
  <si>
    <t>Sheena Joseph</t>
  </si>
  <si>
    <t>Shephali Jain</t>
  </si>
  <si>
    <t>Shivji Prasad</t>
  </si>
  <si>
    <t>Shubhanjali Joshi</t>
  </si>
  <si>
    <t>Shyamal Malakar</t>
  </si>
  <si>
    <t>Sneh Khan</t>
  </si>
  <si>
    <t>Sonaram Munda</t>
  </si>
  <si>
    <t>Sudama Kumar</t>
  </si>
  <si>
    <t>Sudhir Kumar</t>
  </si>
  <si>
    <t>Sunil Kumar</t>
  </si>
  <si>
    <t>Sunita Chawla</t>
  </si>
  <si>
    <t>Sunita Madnani</t>
  </si>
  <si>
    <t>Surendra Kumar</t>
  </si>
  <si>
    <t>Surendranath Thakur</t>
  </si>
  <si>
    <t>Sushma Khandelwal</t>
  </si>
  <si>
    <t>Swarnlata Borse</t>
  </si>
  <si>
    <t>Syed Naved</t>
  </si>
  <si>
    <t>Syed Saqib</t>
  </si>
  <si>
    <t>Syed Sohail</t>
  </si>
  <si>
    <t>System Operator</t>
  </si>
  <si>
    <t>Tahira Qureshi</t>
  </si>
  <si>
    <t>Tapas Chakraborty</t>
  </si>
  <si>
    <t>Tariq Akhlaq</t>
  </si>
  <si>
    <t>Tasneem Khan</t>
  </si>
  <si>
    <t xml:space="preserve">Call Center Employee Performance Dashboard ‎ ‎ ‎ ‎ </t>
  </si>
  <si>
    <t>Total Employee</t>
  </si>
  <si>
    <t>Total Attended Calls</t>
  </si>
  <si>
    <t>Total Number Of Woking Hours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</si>
</sst>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4">
    <font>
      <sz val="10.0"/>
      <color rgb="FF000000"/>
      <name val="Arial"/>
      <scheme val="minor"/>
    </font>
    <font>
      <b/>
      <sz val="10.0"/>
      <color rgb="FF000000"/>
      <name val="Tahoma"/>
    </font>
    <font>
      <sz val="10.0"/>
      <color rgb="FF000000"/>
      <name val="Calibri"/>
    </font>
    <font>
      <sz val="10.0"/>
      <color rgb="FF000000"/>
      <name val="Tahoma"/>
    </font>
    <font>
      <b/>
      <sz val="11.0"/>
      <color rgb="FF000000"/>
      <name val="Calibri"/>
    </font>
    <font>
      <b/>
      <sz val="8.0"/>
      <color rgb="FF000000"/>
      <name val="Tahoma"/>
    </font>
    <font>
      <sz val="11.0"/>
      <color rgb="FF000000"/>
      <name val="Calibri"/>
    </font>
    <font>
      <b/>
      <sz val="15.0"/>
      <color rgb="FFFFFFFF"/>
      <name val="Roboto Mono"/>
    </font>
    <font/>
    <font>
      <sz val="10.0"/>
      <color rgb="FF741B47"/>
      <name val="Arial"/>
    </font>
    <font>
      <sz val="10.0"/>
      <color theme="1"/>
      <name val="Arial"/>
    </font>
    <font>
      <sz val="10.0"/>
      <color rgb="FFFFFFFF"/>
      <name val="Roboto Mono"/>
    </font>
    <font>
      <sz val="30.0"/>
      <color rgb="FF4C1130"/>
      <name val="Arial"/>
    </font>
    <font>
      <sz val="30.0"/>
      <color rgb="FF0B5394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A9D08E"/>
        <bgColor rgb="FFA9D08E"/>
      </patternFill>
    </fill>
    <fill>
      <patternFill patternType="solid">
        <fgColor rgb="FFC6E0B4"/>
        <bgColor rgb="FFC6E0B4"/>
      </patternFill>
    </fill>
    <fill>
      <patternFill patternType="solid">
        <fgColor rgb="FF741B47"/>
        <bgColor rgb="FF741B47"/>
      </patternFill>
    </fill>
    <fill>
      <patternFill patternType="solid">
        <fgColor rgb="FFFFF2CC"/>
        <bgColor rgb="FFFFF2CC"/>
      </patternFill>
    </fill>
    <fill>
      <patternFill patternType="solid">
        <fgColor rgb="FFA64D79"/>
        <bgColor rgb="FFA64D79"/>
      </patternFill>
    </fill>
    <fill>
      <patternFill patternType="solid">
        <fgColor rgb="FF3C78D8"/>
        <bgColor rgb="FF3C78D8"/>
      </patternFill>
    </fill>
    <fill>
      <patternFill patternType="solid">
        <fgColor rgb="FFBF9000"/>
        <bgColor rgb="FFBF9000"/>
      </patternFill>
    </fill>
    <fill>
      <patternFill patternType="solid">
        <fgColor rgb="FFC27BA0"/>
        <bgColor rgb="FFC27BA0"/>
      </patternFill>
    </fill>
    <fill>
      <patternFill patternType="solid">
        <fgColor rgb="FF6D9EEB"/>
        <bgColor rgb="FF6D9EEB"/>
      </patternFill>
    </fill>
    <fill>
      <patternFill patternType="solid">
        <fgColor rgb="FFFFD966"/>
        <bgColor rgb="FFFFD966"/>
      </patternFill>
    </fill>
  </fills>
  <borders count="17">
    <border/>
    <border>
      <left style="thin">
        <color rgb="FF608BB4"/>
      </left>
      <right style="thin">
        <color rgb="FF608BB4"/>
      </right>
      <top style="thin">
        <color rgb="FF608BB4"/>
      </top>
      <bottom style="thin">
        <color rgb="FF608BB4"/>
      </bottom>
    </border>
    <border>
      <left/>
      <right style="thin">
        <color rgb="FF608BB4"/>
      </right>
      <top style="thin">
        <color rgb="FF608BB4"/>
      </top>
      <bottom style="thin">
        <color rgb="FF608BB4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</border>
    <border>
      <top/>
    </border>
    <border>
      <left/>
    </border>
    <border>
      <left style="thin">
        <color rgb="FFA64D79"/>
      </left>
      <top style="thin">
        <color rgb="FFA64D79"/>
      </top>
      <bottom style="thin">
        <color rgb="FFA64D79"/>
      </bottom>
    </border>
    <border>
      <right style="thin">
        <color rgb="FFA64D79"/>
      </right>
      <top style="thin">
        <color rgb="FFA64D79"/>
      </top>
      <bottom style="thin">
        <color rgb="FFA64D79"/>
      </bottom>
    </border>
    <border>
      <left style="thin">
        <color rgb="FFA64D79"/>
      </left>
      <top style="thin">
        <color rgb="FFA64D79"/>
      </top>
    </border>
    <border>
      <right style="thin">
        <color rgb="FFA64D79"/>
      </right>
      <top style="thin">
        <color rgb="FFA64D79"/>
      </top>
    </border>
    <border>
      <left style="thin">
        <color rgb="FFA64D79"/>
      </left>
    </border>
    <border>
      <right style="thin">
        <color rgb="FFA64D79"/>
      </right>
    </border>
    <border>
      <left style="thin">
        <color rgb="FFA64D79"/>
      </left>
      <bottom style="thin">
        <color rgb="FFA64D79"/>
      </bottom>
    </border>
    <border>
      <right style="thin">
        <color rgb="FFA64D79"/>
      </right>
      <bottom style="thin">
        <color rgb="FFA64D79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ont="1"/>
    <xf borderId="0" fillId="0" fontId="2" numFmtId="0" xfId="0" applyFont="1"/>
    <xf borderId="0" fillId="0" fontId="3" numFmtId="164" xfId="0" applyAlignment="1" applyFont="1" applyNumberFormat="1">
      <alignment horizontal="right"/>
    </xf>
    <xf borderId="0" fillId="0" fontId="3" numFmtId="0" xfId="0" applyAlignment="1" applyFont="1">
      <alignment horizontal="right"/>
    </xf>
    <xf borderId="0" fillId="0" fontId="3" numFmtId="10" xfId="0" applyAlignment="1" applyFont="1" applyNumberFormat="1">
      <alignment horizontal="right"/>
    </xf>
    <xf borderId="0" fillId="0" fontId="3" numFmtId="0" xfId="0" applyFont="1"/>
    <xf borderId="3" fillId="3" fontId="4" numFmtId="0" xfId="0" applyBorder="1" applyFill="1" applyFont="1"/>
    <xf borderId="4" fillId="3" fontId="4" numFmtId="0" xfId="0" applyBorder="1" applyFont="1"/>
    <xf borderId="5" fillId="3" fontId="4" numFmtId="0" xfId="0" applyBorder="1" applyFont="1"/>
    <xf borderId="1" fillId="3" fontId="5" numFmtId="0" xfId="0" applyBorder="1" applyFont="1"/>
    <xf borderId="2" fillId="3" fontId="5" numFmtId="0" xfId="0" applyBorder="1" applyFont="1"/>
    <xf borderId="0" fillId="0" fontId="6" numFmtId="0" xfId="0" applyFont="1"/>
    <xf borderId="0" fillId="0" fontId="6" numFmtId="164" xfId="0" applyAlignment="1" applyFont="1" applyNumberFormat="1">
      <alignment horizontal="right"/>
    </xf>
    <xf borderId="0" fillId="0" fontId="6" numFmtId="0" xfId="0" applyAlignment="1" applyFont="1">
      <alignment horizontal="right"/>
    </xf>
    <xf borderId="0" fillId="0" fontId="6" numFmtId="9" xfId="0" applyAlignment="1" applyFont="1" applyNumberFormat="1">
      <alignment horizontal="right"/>
    </xf>
    <xf borderId="6" fillId="4" fontId="7" numFmtId="0" xfId="0" applyAlignment="1" applyBorder="1" applyFill="1" applyFont="1">
      <alignment horizontal="center" vertical="center"/>
    </xf>
    <xf borderId="7" fillId="0" fontId="8" numFmtId="0" xfId="0" applyBorder="1" applyFont="1"/>
    <xf borderId="6" fillId="4" fontId="9" numFmtId="0" xfId="0" applyBorder="1" applyFont="1"/>
    <xf borderId="3" fillId="5" fontId="10" numFmtId="0" xfId="0" applyBorder="1" applyFill="1" applyFont="1"/>
    <xf borderId="8" fillId="0" fontId="8" numFmtId="0" xfId="0" applyBorder="1" applyFont="1"/>
    <xf borderId="9" fillId="6" fontId="11" numFmtId="0" xfId="0" applyAlignment="1" applyBorder="1" applyFill="1" applyFont="1">
      <alignment horizontal="center" vertical="center"/>
    </xf>
    <xf borderId="10" fillId="0" fontId="8" numFmtId="0" xfId="0" applyBorder="1" applyFont="1"/>
    <xf borderId="9" fillId="7" fontId="11" numFmtId="0" xfId="0" applyAlignment="1" applyBorder="1" applyFill="1" applyFont="1">
      <alignment horizontal="center" vertical="center"/>
    </xf>
    <xf borderId="9" fillId="8" fontId="11" numFmtId="0" xfId="0" applyAlignment="1" applyBorder="1" applyFill="1" applyFont="1">
      <alignment horizontal="center" vertical="center"/>
    </xf>
    <xf borderId="11" fillId="9" fontId="12" numFmtId="0" xfId="0" applyAlignment="1" applyBorder="1" applyFill="1" applyFont="1">
      <alignment horizontal="center" vertical="center"/>
    </xf>
    <xf borderId="12" fillId="0" fontId="8" numFmtId="0" xfId="0" applyBorder="1" applyFont="1"/>
    <xf borderId="11" fillId="10" fontId="13" numFmtId="0" xfId="0" applyAlignment="1" applyBorder="1" applyFill="1" applyFont="1">
      <alignment horizontal="center" vertical="center"/>
    </xf>
    <xf borderId="11" fillId="11" fontId="13" numFmtId="164" xfId="0" applyAlignment="1" applyBorder="1" applyFill="1" applyFont="1" applyNumberFormat="1">
      <alignment horizontal="center" vertical="center"/>
    </xf>
    <xf borderId="13" fillId="0" fontId="8" numFmtId="0" xfId="0" applyBorder="1" applyFont="1"/>
    <xf borderId="14" fillId="0" fontId="8" numFmtId="0" xfId="0" applyBorder="1" applyFont="1"/>
    <xf borderId="15" fillId="0" fontId="8" numFmtId="0" xfId="0" applyBorder="1" applyFont="1"/>
    <xf borderId="16" fillId="0" fontId="8" numFmtId="0" xfId="0" applyBorder="1" applyFont="1"/>
    <xf borderId="0" fillId="0" fontId="10" numFmtId="0" xfId="0" applyFont="1"/>
    <xf borderId="0" fillId="0" fontId="10" numFmtId="164" xfId="0" applyFont="1" applyNumberFormat="1"/>
    <xf borderId="0" fillId="0" fontId="10" numFmtId="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757575"/>
                </a:solidFill>
                <a:latin typeface="+mn-lt"/>
              </a:defRPr>
            </a:pPr>
            <a:r>
              <a:rPr b="1" i="0" sz="1600">
                <a:solidFill>
                  <a:srgbClr val="757575"/>
                </a:solidFill>
                <a:latin typeface="+mn-lt"/>
              </a:rPr>
              <a:t>Percentage Active With Customer</a:t>
            </a:r>
          </a:p>
        </c:rich>
      </c:tx>
      <c:overlay val="0"/>
    </c:title>
    <c:plotArea>
      <c:layout/>
      <c:areaChart>
        <c:ser>
          <c:idx val="0"/>
          <c:order val="0"/>
          <c:tx>
            <c:v>Active With Cust.</c:v>
          </c:tx>
          <c:spPr>
            <a:solidFill>
              <a:srgbClr val="741B47">
                <a:alpha val="30000"/>
              </a:srgbClr>
            </a:solidFill>
            <a:ln cmpd="sng">
              <a:solidFill>
                <a:srgbClr val="741B47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Tables!$H$3:$H$7</c:f>
            </c:strRef>
          </c:cat>
          <c:val>
            <c:numRef>
              <c:f>Tables!$I$3:$I$7</c:f>
              <c:numCache/>
            </c:numRef>
          </c:val>
        </c:ser>
        <c:axId val="1131704004"/>
        <c:axId val="280346525"/>
      </c:areaChart>
      <c:catAx>
        <c:axId val="11317040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Employees 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80346525"/>
      </c:catAx>
      <c:valAx>
        <c:axId val="2803465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Active With Cust.</a:t>
                </a:r>
              </a:p>
            </c:rich>
          </c:tx>
          <c:layout>
            <c:manualLayout>
              <c:xMode val="edge"/>
              <c:yMode val="edge"/>
              <c:x val="0.013218797265978362"/>
              <c:y val="0.19740951976116627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131704004"/>
      </c:valAx>
    </c:plotArea>
    <c:plotVisOnly val="1"/>
  </c:chart>
  <c:spPr>
    <a:solidFill>
      <a:srgbClr val="F3F3F3"/>
    </a:solidFill>
  </c:spPr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Relationship Id="rId3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752475</xdr:colOff>
      <xdr:row>9</xdr:row>
      <xdr:rowOff>66675</xdr:rowOff>
    </xdr:from>
    <xdr:ext cx="5514975" cy="23431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114300</xdr:colOff>
      <xdr:row>9</xdr:row>
      <xdr:rowOff>114300</xdr:rowOff>
    </xdr:from>
    <xdr:ext cx="4181475" cy="2295525"/>
    <xdr:pic>
      <xdr:nvPicPr>
        <xdr:cNvPr id="0" name="image1.png" title="Chart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304800</xdr:colOff>
      <xdr:row>9</xdr:row>
      <xdr:rowOff>66675</xdr:rowOff>
    </xdr:from>
    <xdr:ext cx="4152900" cy="2343150"/>
    <xdr:pic>
      <xdr:nvPicPr>
        <xdr:cNvPr id="0" name="image2.png" title="Chart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7.0"/>
    <col customWidth="1" min="2" max="6" width="12.63"/>
    <col customWidth="1" min="7" max="7" width="14.88"/>
    <col customWidth="1" min="9" max="9" width="16.1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15.75" customHeight="1">
      <c r="A2" s="3" t="s">
        <v>9</v>
      </c>
      <c r="B2" s="4">
        <v>0.02556712962962963</v>
      </c>
      <c r="C2" s="4">
        <v>0.021111111111111112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0.04770833333333333</v>
      </c>
    </row>
    <row r="3" ht="15.75" customHeight="1">
      <c r="A3" s="3" t="s">
        <v>10</v>
      </c>
      <c r="B3" s="4">
        <v>0.027731481481481482</v>
      </c>
      <c r="C3" s="4">
        <v>0.020775462962962964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0.04859953703703704</v>
      </c>
    </row>
    <row r="4" ht="15.75" customHeight="1">
      <c r="A4" s="3" t="s">
        <v>11</v>
      </c>
      <c r="B4" s="4">
        <v>0.027650462962962963</v>
      </c>
      <c r="C4" s="4">
        <v>0.02070601851851852</v>
      </c>
      <c r="D4" s="4">
        <v>0.0</v>
      </c>
      <c r="E4" s="4">
        <v>0.0</v>
      </c>
      <c r="F4" s="4">
        <v>0.0</v>
      </c>
      <c r="G4" s="4">
        <v>0.0028819444444444444</v>
      </c>
      <c r="H4" s="4">
        <v>0.0</v>
      </c>
      <c r="I4" s="4">
        <v>0.051319444444444445</v>
      </c>
    </row>
    <row r="5" ht="15.75" customHeight="1">
      <c r="A5" s="3" t="s">
        <v>12</v>
      </c>
      <c r="B5" s="4">
        <v>0.027280092592592592</v>
      </c>
      <c r="C5" s="4">
        <v>0.015509259259259259</v>
      </c>
      <c r="D5" s="4">
        <v>0.04928240740740741</v>
      </c>
      <c r="E5" s="4">
        <v>0.0</v>
      </c>
      <c r="F5" s="4">
        <v>0.0</v>
      </c>
      <c r="G5" s="4">
        <v>0.0</v>
      </c>
      <c r="H5" s="4">
        <v>0.0</v>
      </c>
      <c r="I5" s="4">
        <v>0.09655092592592593</v>
      </c>
    </row>
    <row r="6" ht="15.75" customHeight="1">
      <c r="A6" s="3" t="s">
        <v>13</v>
      </c>
      <c r="B6" s="4">
        <v>0.0</v>
      </c>
      <c r="C6" s="4">
        <v>0.020648148148148148</v>
      </c>
      <c r="D6" s="4">
        <v>0.0</v>
      </c>
      <c r="E6" s="4">
        <v>0.0</v>
      </c>
      <c r="F6" s="4">
        <v>0.020497685185185185</v>
      </c>
      <c r="G6" s="4">
        <v>0.0</v>
      </c>
      <c r="H6" s="4">
        <v>0.08703703703703704</v>
      </c>
      <c r="I6" s="4">
        <v>0.12844907407407408</v>
      </c>
    </row>
    <row r="7" ht="15.75" customHeight="1">
      <c r="A7" s="3" t="s">
        <v>14</v>
      </c>
      <c r="B7" s="4">
        <v>0.0</v>
      </c>
      <c r="C7" s="4">
        <v>0.01037037037037037</v>
      </c>
      <c r="D7" s="4">
        <v>0.0</v>
      </c>
      <c r="E7" s="4">
        <v>0.0</v>
      </c>
      <c r="F7" s="4">
        <v>0.0</v>
      </c>
      <c r="G7" s="4">
        <v>0.007083333333333333</v>
      </c>
      <c r="H7" s="4">
        <v>0.0</v>
      </c>
      <c r="I7" s="4">
        <v>0.018831018518518518</v>
      </c>
    </row>
    <row r="8" ht="15.75" customHeight="1">
      <c r="A8" s="3" t="s">
        <v>15</v>
      </c>
      <c r="B8" s="4">
        <v>0.027766203703703703</v>
      </c>
      <c r="C8" s="4">
        <v>0.020810185185185185</v>
      </c>
      <c r="D8" s="4">
        <v>0.0</v>
      </c>
      <c r="E8" s="4">
        <v>0.0</v>
      </c>
      <c r="F8" s="4">
        <v>0.0</v>
      </c>
      <c r="G8" s="4">
        <v>0.0</v>
      </c>
      <c r="H8" s="4">
        <v>0.06359953703703704</v>
      </c>
      <c r="I8" s="4">
        <v>0.11229166666666666</v>
      </c>
    </row>
    <row r="9" ht="15.75" customHeight="1">
      <c r="A9" s="3" t="s">
        <v>16</v>
      </c>
      <c r="B9" s="4">
        <v>0.028043981481481482</v>
      </c>
      <c r="C9" s="4">
        <v>0.020439814814814813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0.05081018518518519</v>
      </c>
    </row>
    <row r="10" ht="15.75" customHeight="1">
      <c r="A10" s="3" t="s">
        <v>17</v>
      </c>
      <c r="B10" s="4">
        <v>0.02771990740740741</v>
      </c>
      <c r="C10" s="4">
        <v>0.017233796296296296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0.04628472222222222</v>
      </c>
    </row>
    <row r="11" ht="15.75" customHeight="1">
      <c r="A11" s="3" t="s">
        <v>18</v>
      </c>
      <c r="B11" s="4">
        <v>0.02767361111111111</v>
      </c>
      <c r="C11" s="4">
        <v>0.02082175925925926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0.04857638888888889</v>
      </c>
    </row>
    <row r="12" ht="15.75" customHeight="1">
      <c r="A12" s="3" t="s">
        <v>19</v>
      </c>
      <c r="B12" s="4">
        <v>0.02755787037037037</v>
      </c>
      <c r="C12" s="4">
        <v>0.02042824074074074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0.04809027777777778</v>
      </c>
    </row>
    <row r="13" ht="15.75" customHeight="1">
      <c r="A13" s="3" t="s">
        <v>20</v>
      </c>
      <c r="B13" s="4">
        <v>0.027141203703703702</v>
      </c>
      <c r="C13" s="4">
        <v>0.02082175925925926</v>
      </c>
      <c r="D13" s="4">
        <v>0.0</v>
      </c>
      <c r="E13" s="4">
        <v>0.04518518518518518</v>
      </c>
      <c r="F13" s="4">
        <v>0.021111111111111112</v>
      </c>
      <c r="G13" s="4">
        <v>0.008703703703703703</v>
      </c>
      <c r="H13" s="4">
        <v>0.0</v>
      </c>
      <c r="I13" s="4">
        <v>0.12590277777777778</v>
      </c>
    </row>
    <row r="14" ht="15.75" customHeight="1">
      <c r="A14" s="3" t="s">
        <v>21</v>
      </c>
      <c r="B14" s="4">
        <v>0.02715277777777778</v>
      </c>
      <c r="C14" s="4">
        <v>0.01765046296296296</v>
      </c>
      <c r="D14" s="4">
        <v>0.0</v>
      </c>
      <c r="E14" s="4">
        <v>0.04273148148148148</v>
      </c>
      <c r="F14" s="4">
        <v>0.0</v>
      </c>
      <c r="G14" s="4">
        <v>0.0</v>
      </c>
      <c r="H14" s="4">
        <v>0.0</v>
      </c>
      <c r="I14" s="4">
        <v>0.08797453703703703</v>
      </c>
    </row>
    <row r="15" ht="15.75" customHeight="1">
      <c r="A15" s="3" t="s">
        <v>22</v>
      </c>
      <c r="B15" s="4">
        <v>0.029861111111111113</v>
      </c>
      <c r="C15" s="4">
        <v>0.018900462962962963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0.04900462962962963</v>
      </c>
    </row>
    <row r="16" ht="15.75" customHeight="1">
      <c r="A16" s="3" t="s">
        <v>23</v>
      </c>
      <c r="B16" s="4">
        <v>0.026122685185185186</v>
      </c>
      <c r="C16" s="4">
        <v>0.02070601851851852</v>
      </c>
      <c r="D16" s="4">
        <v>0.0</v>
      </c>
      <c r="E16" s="4">
        <v>0.0</v>
      </c>
      <c r="F16" s="4">
        <v>0.0</v>
      </c>
      <c r="G16" s="4">
        <v>0.006053240740740741</v>
      </c>
      <c r="H16" s="4">
        <v>0.0</v>
      </c>
      <c r="I16" s="4">
        <v>0.053460648148148146</v>
      </c>
    </row>
    <row r="17" ht="15.75" customHeight="1">
      <c r="A17" s="3" t="s">
        <v>24</v>
      </c>
      <c r="B17" s="4">
        <v>0.029236111111111112</v>
      </c>
      <c r="C17" s="4">
        <v>0.011064814814814816</v>
      </c>
      <c r="D17" s="4">
        <v>0.05938657407407407</v>
      </c>
      <c r="E17" s="4">
        <v>0.0</v>
      </c>
      <c r="F17" s="4">
        <v>0.0</v>
      </c>
      <c r="G17" s="4">
        <v>0.0</v>
      </c>
      <c r="H17" s="4">
        <v>0.0</v>
      </c>
      <c r="I17" s="4">
        <v>0.10023148148148148</v>
      </c>
    </row>
    <row r="18" ht="15.75" customHeight="1">
      <c r="A18" s="3" t="s">
        <v>25</v>
      </c>
      <c r="B18" s="4">
        <v>0.027199074074074073</v>
      </c>
      <c r="C18" s="4">
        <v>0.0090625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0.03922453703703704</v>
      </c>
    </row>
    <row r="19" ht="15.75" customHeight="1">
      <c r="A19" s="3" t="s">
        <v>26</v>
      </c>
      <c r="B19" s="4">
        <v>0.027743055555555556</v>
      </c>
      <c r="C19" s="4">
        <v>0.020810185185185185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0.04869212962962963</v>
      </c>
    </row>
    <row r="20" ht="15.75" customHeight="1">
      <c r="A20" s="3" t="s">
        <v>27</v>
      </c>
      <c r="B20" s="4">
        <v>0.027210648148148147</v>
      </c>
      <c r="C20" s="4">
        <v>0.018993055555555555</v>
      </c>
      <c r="D20" s="4">
        <v>0.0</v>
      </c>
      <c r="E20" s="4">
        <v>0.04164351851851852</v>
      </c>
      <c r="F20" s="4">
        <v>0.021608796296296296</v>
      </c>
      <c r="G20" s="4">
        <v>0.0</v>
      </c>
      <c r="H20" s="4">
        <v>0.0</v>
      </c>
      <c r="I20" s="4">
        <v>0.11122685185185185</v>
      </c>
    </row>
    <row r="21" ht="15.75" customHeight="1">
      <c r="A21" s="3" t="s">
        <v>28</v>
      </c>
      <c r="B21" s="4">
        <v>0.028009259259259258</v>
      </c>
      <c r="C21" s="4">
        <v>0.021284722222222222</v>
      </c>
      <c r="D21" s="4">
        <v>0.0</v>
      </c>
      <c r="E21" s="4">
        <v>0.0</v>
      </c>
      <c r="F21" s="4">
        <v>0.0</v>
      </c>
      <c r="G21" s="4">
        <v>0.0010416666666666667</v>
      </c>
      <c r="H21" s="4">
        <v>0.0</v>
      </c>
      <c r="I21" s="4">
        <v>0.05173611111111111</v>
      </c>
    </row>
    <row r="22" ht="15.75" customHeight="1">
      <c r="A22" s="3" t="s">
        <v>29</v>
      </c>
      <c r="B22" s="4">
        <v>0.02741898148148148</v>
      </c>
      <c r="C22" s="4">
        <v>0.018784722222222223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0.046516203703703705</v>
      </c>
    </row>
    <row r="23" ht="15.75" customHeight="1">
      <c r="A23" s="3" t="s">
        <v>30</v>
      </c>
      <c r="B23" s="4">
        <v>0.027511574074074074</v>
      </c>
      <c r="C23" s="4">
        <v>0.020185185185185184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0.04846064814814815</v>
      </c>
    </row>
    <row r="24" ht="15.75" customHeight="1">
      <c r="A24" s="3" t="s">
        <v>31</v>
      </c>
      <c r="B24" s="4">
        <v>0.027777777777777776</v>
      </c>
      <c r="C24" s="4">
        <v>0.020868055555555556</v>
      </c>
      <c r="D24" s="4">
        <v>0.041157407407407406</v>
      </c>
      <c r="E24" s="4">
        <v>0.0</v>
      </c>
      <c r="F24" s="4">
        <v>0.0</v>
      </c>
      <c r="G24" s="4">
        <v>0.0</v>
      </c>
      <c r="H24" s="4">
        <v>0.0</v>
      </c>
      <c r="I24" s="4">
        <v>0.09048611111111111</v>
      </c>
    </row>
    <row r="25" ht="15.75" customHeight="1">
      <c r="A25" s="3" t="s">
        <v>32</v>
      </c>
      <c r="B25" s="4">
        <v>0.027662037037037037</v>
      </c>
      <c r="C25" s="4">
        <v>0.0209375</v>
      </c>
      <c r="D25" s="4">
        <v>0.0</v>
      </c>
      <c r="E25" s="4">
        <v>0.04241898148148148</v>
      </c>
      <c r="F25" s="4">
        <v>0.0</v>
      </c>
      <c r="G25" s="4">
        <v>0.0</v>
      </c>
      <c r="H25" s="4">
        <v>0.0</v>
      </c>
      <c r="I25" s="4">
        <v>0.09116898148148148</v>
      </c>
    </row>
    <row r="26" ht="15.75" customHeight="1">
      <c r="A26" s="3" t="s">
        <v>33</v>
      </c>
      <c r="B26" s="4">
        <v>0.027407407407407408</v>
      </c>
      <c r="C26" s="4">
        <v>0.018310185185185186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0.050625</v>
      </c>
    </row>
    <row r="27" ht="15.75" customHeight="1">
      <c r="A27" s="3" t="s">
        <v>34</v>
      </c>
      <c r="B27" s="4">
        <v>0.0</v>
      </c>
      <c r="C27" s="4">
        <v>0.020011574074074074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0.021180555555555557</v>
      </c>
    </row>
    <row r="28" ht="15.75" customHeight="1">
      <c r="A28" s="3" t="s">
        <v>35</v>
      </c>
      <c r="B28" s="4">
        <v>0.027708333333333335</v>
      </c>
      <c r="C28" s="4">
        <v>0.02079861111111111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0.04976851851851852</v>
      </c>
    </row>
    <row r="29" ht="15.75" customHeight="1">
      <c r="A29" s="3" t="s">
        <v>36</v>
      </c>
      <c r="B29" s="4">
        <v>0.02789351851851852</v>
      </c>
      <c r="C29" s="4">
        <v>0.020474537037037038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0.04864583333333333</v>
      </c>
    </row>
    <row r="30" ht="15.75" customHeight="1">
      <c r="A30" s="3" t="s">
        <v>37</v>
      </c>
      <c r="B30" s="4">
        <v>0.028425925925925927</v>
      </c>
      <c r="C30" s="4">
        <v>0.021875</v>
      </c>
      <c r="D30" s="4">
        <v>0.0</v>
      </c>
      <c r="E30" s="4">
        <v>0.04165509259259259</v>
      </c>
      <c r="F30" s="4">
        <v>0.02221064814814815</v>
      </c>
      <c r="G30" s="4">
        <v>0.0</v>
      </c>
      <c r="H30" s="4">
        <v>0.0</v>
      </c>
      <c r="I30" s="4">
        <v>0.11449074074074074</v>
      </c>
    </row>
    <row r="31" ht="15.75" customHeight="1">
      <c r="A31" s="3" t="s">
        <v>38</v>
      </c>
      <c r="B31" s="4">
        <v>0.0</v>
      </c>
      <c r="C31" s="4">
        <v>0.020833333333333332</v>
      </c>
      <c r="D31" s="4">
        <v>0.0</v>
      </c>
      <c r="E31" s="4">
        <v>0.0</v>
      </c>
      <c r="F31" s="4">
        <v>0.017997685185185186</v>
      </c>
      <c r="G31" s="4">
        <v>0.005891203703703704</v>
      </c>
      <c r="H31" s="4">
        <v>0.0</v>
      </c>
      <c r="I31" s="4">
        <v>0.05578703703703704</v>
      </c>
    </row>
    <row r="32" ht="15.75" customHeight="1">
      <c r="A32" s="3" t="s">
        <v>39</v>
      </c>
      <c r="B32" s="4">
        <v>0.027662037037037037</v>
      </c>
      <c r="C32" s="4">
        <v>0.020324074074074074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0.04809027777777778</v>
      </c>
    </row>
    <row r="33" ht="15.75" customHeight="1">
      <c r="A33" s="3" t="s">
        <v>40</v>
      </c>
      <c r="B33" s="4">
        <v>0.02730324074074074</v>
      </c>
      <c r="C33" s="4">
        <v>0.019710648148148147</v>
      </c>
      <c r="D33" s="4">
        <v>0.0</v>
      </c>
      <c r="E33" s="4">
        <v>0.04244212962962963</v>
      </c>
      <c r="F33" s="4">
        <v>0.0</v>
      </c>
      <c r="G33" s="4">
        <v>0.0</v>
      </c>
      <c r="H33" s="4">
        <v>0.0</v>
      </c>
      <c r="I33" s="4">
        <v>0.08974537037037036</v>
      </c>
    </row>
    <row r="34" ht="15.75" customHeight="1">
      <c r="A34" s="3" t="s">
        <v>41</v>
      </c>
      <c r="B34" s="4">
        <v>0.029236111111111112</v>
      </c>
      <c r="C34" s="4">
        <v>0.01853009259259259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0.04795138888888889</v>
      </c>
    </row>
    <row r="35" ht="15.75" customHeight="1">
      <c r="A35" s="3" t="s">
        <v>42</v>
      </c>
      <c r="B35" s="4">
        <v>0.0271875</v>
      </c>
      <c r="C35" s="4">
        <v>0.020196759259259258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0.04856481481481482</v>
      </c>
    </row>
    <row r="36" ht="15.75" customHeight="1">
      <c r="A36" s="3" t="s">
        <v>43</v>
      </c>
      <c r="B36" s="4">
        <v>0.0</v>
      </c>
      <c r="C36" s="4">
        <v>0.017546296296296296</v>
      </c>
      <c r="D36" s="4">
        <v>0.041608796296296297</v>
      </c>
      <c r="E36" s="4">
        <v>0.0</v>
      </c>
      <c r="F36" s="4">
        <v>0.0</v>
      </c>
      <c r="G36" s="4">
        <v>0.0</v>
      </c>
      <c r="H36" s="4">
        <v>0.0</v>
      </c>
      <c r="I36" s="4">
        <v>0.06121527777777778</v>
      </c>
    </row>
    <row r="37" ht="15.75" customHeight="1">
      <c r="A37" s="3" t="s">
        <v>44</v>
      </c>
      <c r="B37" s="4">
        <v>0.027430555555555555</v>
      </c>
      <c r="C37" s="4">
        <v>0.0203125</v>
      </c>
      <c r="D37" s="4">
        <v>0.0</v>
      </c>
      <c r="E37" s="4">
        <v>0.040081018518518516</v>
      </c>
      <c r="F37" s="4">
        <v>0.019664351851851853</v>
      </c>
      <c r="G37" s="4">
        <v>0.0</v>
      </c>
      <c r="H37" s="4">
        <v>0.0</v>
      </c>
      <c r="I37" s="4">
        <v>0.10777777777777778</v>
      </c>
    </row>
    <row r="38" ht="15.75" customHeight="1">
      <c r="A38" s="3" t="s">
        <v>45</v>
      </c>
      <c r="B38" s="4">
        <v>0.02763888888888889</v>
      </c>
      <c r="C38" s="4">
        <v>0.020555555555555556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0.04833333333333333</v>
      </c>
    </row>
    <row r="39" ht="15.75" customHeight="1">
      <c r="A39" s="3" t="s">
        <v>46</v>
      </c>
      <c r="B39" s="4">
        <v>0.027731481481481482</v>
      </c>
      <c r="C39" s="4">
        <v>0.02070601851851852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0.04912037037037037</v>
      </c>
    </row>
    <row r="40" ht="15.75" customHeight="1">
      <c r="A40" s="3" t="s">
        <v>47</v>
      </c>
      <c r="B40" s="4">
        <v>0.027604166666666666</v>
      </c>
      <c r="C40" s="4">
        <v>0.02068287037037037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0.04892361111111111</v>
      </c>
    </row>
    <row r="41" ht="15.75" customHeight="1">
      <c r="A41" s="3" t="s">
        <v>48</v>
      </c>
      <c r="B41" s="4">
        <v>0.02912037037037037</v>
      </c>
      <c r="C41" s="4">
        <v>0.019537037037037037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0.04875</v>
      </c>
    </row>
    <row r="42" ht="15.75" customHeight="1">
      <c r="A42" s="3" t="s">
        <v>49</v>
      </c>
      <c r="B42" s="4">
        <v>0.026435185185185187</v>
      </c>
      <c r="C42" s="4">
        <v>0.01982638888888889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0.04699074074074074</v>
      </c>
    </row>
    <row r="43" ht="15.75" customHeight="1">
      <c r="A43" s="3" t="s">
        <v>50</v>
      </c>
      <c r="B43" s="4">
        <v>0.02290509259259259</v>
      </c>
      <c r="C43" s="4">
        <v>0.022800925925925926</v>
      </c>
      <c r="D43" s="4">
        <v>0.0</v>
      </c>
      <c r="E43" s="4">
        <v>0.0</v>
      </c>
      <c r="F43" s="4">
        <v>0.05414351851851852</v>
      </c>
      <c r="G43" s="4">
        <v>0.0</v>
      </c>
      <c r="H43" s="4">
        <v>0.0</v>
      </c>
      <c r="I43" s="4">
        <v>0.100625</v>
      </c>
    </row>
    <row r="44" ht="15.75" customHeight="1">
      <c r="A44" s="3" t="s">
        <v>51</v>
      </c>
      <c r="B44" s="4">
        <v>0.0</v>
      </c>
      <c r="C44" s="4">
        <v>0.0103125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0.010416666666666666</v>
      </c>
    </row>
    <row r="45" ht="15.75" customHeight="1">
      <c r="A45" s="3" t="s">
        <v>52</v>
      </c>
      <c r="B45" s="4">
        <v>0.025138888888888888</v>
      </c>
      <c r="C45" s="4">
        <v>0.020810185185185185</v>
      </c>
      <c r="D45" s="4">
        <v>0.0</v>
      </c>
      <c r="E45" s="4">
        <v>0.0</v>
      </c>
      <c r="F45" s="4">
        <v>0.0</v>
      </c>
      <c r="G45" s="4">
        <v>0.0017824074074074075</v>
      </c>
      <c r="H45" s="4">
        <v>0.0</v>
      </c>
      <c r="I45" s="4">
        <v>0.0484375</v>
      </c>
    </row>
    <row r="46" ht="15.75" customHeight="1">
      <c r="A46" s="3" t="s">
        <v>53</v>
      </c>
      <c r="B46" s="4">
        <v>0.015590277777777778</v>
      </c>
      <c r="C46" s="4">
        <v>0.02263888888888889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0.039108796296296294</v>
      </c>
    </row>
    <row r="47" ht="15.75" customHeight="1">
      <c r="A47" s="3" t="s">
        <v>54</v>
      </c>
      <c r="B47" s="4">
        <v>0.027685185185185184</v>
      </c>
      <c r="C47" s="4">
        <v>0.020752314814814814</v>
      </c>
      <c r="D47" s="4">
        <v>0.04179398148148148</v>
      </c>
      <c r="E47" s="4">
        <v>0.0</v>
      </c>
      <c r="F47" s="4">
        <v>0.0</v>
      </c>
      <c r="G47" s="4">
        <v>0.0</v>
      </c>
      <c r="H47" s="4">
        <v>0.0</v>
      </c>
      <c r="I47" s="4">
        <v>0.09055555555555556</v>
      </c>
    </row>
    <row r="48" ht="15.75" customHeight="1">
      <c r="A48" s="3" t="s">
        <v>55</v>
      </c>
      <c r="B48" s="4">
        <v>0.02730324074074074</v>
      </c>
      <c r="C48" s="4">
        <v>0.020752314814814814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0.048240740740740744</v>
      </c>
    </row>
    <row r="49" ht="15.75" customHeight="1">
      <c r="A49" s="3" t="s">
        <v>56</v>
      </c>
      <c r="B49" s="4">
        <v>0.027743055555555556</v>
      </c>
      <c r="C49" s="4">
        <v>0.020590277777777777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0.0484375</v>
      </c>
    </row>
    <row r="50" ht="15.75" customHeight="1">
      <c r="A50" s="3" t="s">
        <v>57</v>
      </c>
      <c r="B50" s="4">
        <v>0.027777777777777776</v>
      </c>
      <c r="C50" s="4">
        <v>0.020844907407407406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0.04873842592592593</v>
      </c>
    </row>
    <row r="51" ht="15.75" customHeight="1">
      <c r="A51" s="3" t="s">
        <v>58</v>
      </c>
      <c r="B51" s="4">
        <v>0.0</v>
      </c>
      <c r="C51" s="4">
        <v>0.010555555555555556</v>
      </c>
      <c r="D51" s="4">
        <v>0.0</v>
      </c>
      <c r="E51" s="4">
        <v>0.0</v>
      </c>
      <c r="F51" s="4">
        <v>0.0</v>
      </c>
      <c r="G51" s="4">
        <v>0.001863425925925926</v>
      </c>
      <c r="H51" s="4">
        <v>0.0</v>
      </c>
      <c r="I51" s="4">
        <v>0.012615740740740742</v>
      </c>
    </row>
    <row r="52" ht="15.75" customHeight="1">
      <c r="A52" s="3" t="s">
        <v>59</v>
      </c>
      <c r="B52" s="4">
        <v>0.014490740740740742</v>
      </c>
      <c r="C52" s="4">
        <v>0.02087962962962963</v>
      </c>
      <c r="D52" s="4">
        <v>0.0</v>
      </c>
      <c r="E52" s="4">
        <v>0.0</v>
      </c>
      <c r="F52" s="4">
        <v>0.0</v>
      </c>
      <c r="G52" s="4">
        <v>0.01628472222222222</v>
      </c>
      <c r="H52" s="4">
        <v>0.0</v>
      </c>
      <c r="I52" s="4">
        <v>0.05189814814814815</v>
      </c>
    </row>
    <row r="53" ht="15.75" customHeight="1">
      <c r="A53" s="3" t="s">
        <v>60</v>
      </c>
      <c r="B53" s="4">
        <v>0.027766203703703703</v>
      </c>
      <c r="C53" s="4">
        <v>0.02079861111111111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0.048657407407407406</v>
      </c>
    </row>
    <row r="54" ht="15.75" customHeight="1">
      <c r="A54" s="3" t="s">
        <v>61</v>
      </c>
      <c r="B54" s="4">
        <v>0.02775462962962963</v>
      </c>
      <c r="C54" s="4">
        <v>0.020810185185185185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0.04871527777777778</v>
      </c>
    </row>
    <row r="55" ht="15.75" customHeight="1">
      <c r="A55" s="3" t="s">
        <v>62</v>
      </c>
      <c r="B55" s="4">
        <v>0.03090277777777778</v>
      </c>
      <c r="C55" s="4">
        <v>0.017511574074074075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0.0490625</v>
      </c>
    </row>
    <row r="56" ht="15.75" customHeight="1">
      <c r="A56" s="3" t="s">
        <v>63</v>
      </c>
      <c r="B56" s="4">
        <v>0.027569444444444445</v>
      </c>
      <c r="C56" s="4">
        <v>0.020902777777777777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0.04914351851851852</v>
      </c>
    </row>
    <row r="57" ht="15.75" customHeight="1">
      <c r="A57" s="3" t="s">
        <v>64</v>
      </c>
      <c r="B57" s="4">
        <v>0.027708333333333335</v>
      </c>
      <c r="C57" s="4">
        <v>0.020752314814814814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0.04853009259259259</v>
      </c>
    </row>
    <row r="58" ht="15.75" customHeight="1">
      <c r="A58" s="3" t="s">
        <v>65</v>
      </c>
      <c r="B58" s="4">
        <v>0.027731481481481482</v>
      </c>
      <c r="C58" s="4">
        <v>0.020752314814814814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0.052766203703703704</v>
      </c>
    </row>
    <row r="59" ht="15.75" customHeight="1">
      <c r="A59" s="3" t="s">
        <v>66</v>
      </c>
      <c r="B59" s="4">
        <v>0.02771990740740741</v>
      </c>
      <c r="C59" s="4">
        <v>0.020671296296296295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0.049756944444444444</v>
      </c>
    </row>
    <row r="60" ht="15.75" customHeight="1">
      <c r="A60" s="3" t="s">
        <v>67</v>
      </c>
      <c r="B60" s="4">
        <v>0.028622685185185185</v>
      </c>
      <c r="C60" s="4">
        <v>0.020844907407407406</v>
      </c>
      <c r="D60" s="4">
        <v>0.0</v>
      </c>
      <c r="E60" s="4">
        <v>0.04622685185185185</v>
      </c>
      <c r="F60" s="4">
        <v>0.05322916666666667</v>
      </c>
      <c r="G60" s="4">
        <v>0.0</v>
      </c>
      <c r="H60" s="4">
        <v>0.0</v>
      </c>
      <c r="I60" s="4">
        <v>0.14913194444444444</v>
      </c>
    </row>
    <row r="61" ht="15.75" customHeight="1">
      <c r="A61" s="3" t="s">
        <v>68</v>
      </c>
      <c r="B61" s="4">
        <v>0.027743055555555556</v>
      </c>
      <c r="C61" s="4">
        <v>0.02050925925925926</v>
      </c>
      <c r="D61" s="4">
        <v>0.0</v>
      </c>
      <c r="E61" s="4">
        <v>0.03809027777777778</v>
      </c>
      <c r="F61" s="4">
        <v>0.0</v>
      </c>
      <c r="G61" s="4">
        <v>0.00542824074074074</v>
      </c>
      <c r="H61" s="4">
        <v>0.0</v>
      </c>
      <c r="I61" s="4">
        <v>0.09194444444444444</v>
      </c>
    </row>
    <row r="62" ht="15.75" customHeight="1">
      <c r="A62" s="3" t="s">
        <v>69</v>
      </c>
      <c r="B62" s="4">
        <v>0.0</v>
      </c>
      <c r="C62" s="4">
        <v>0.010277777777777778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0.010821759259259258</v>
      </c>
    </row>
    <row r="63" ht="15.75" customHeight="1">
      <c r="A63" s="3" t="s">
        <v>70</v>
      </c>
      <c r="B63" s="4">
        <v>0.027777777777777776</v>
      </c>
      <c r="C63" s="4">
        <v>0.02082175925925926</v>
      </c>
      <c r="D63" s="4">
        <v>0.04372685185185185</v>
      </c>
      <c r="E63" s="4">
        <v>0.0</v>
      </c>
      <c r="F63" s="4">
        <v>0.0</v>
      </c>
      <c r="G63" s="4">
        <v>0.0</v>
      </c>
      <c r="H63" s="4">
        <v>0.0</v>
      </c>
      <c r="I63" s="4">
        <v>0.09244212962962962</v>
      </c>
    </row>
    <row r="64" ht="15.75" customHeight="1">
      <c r="A64" s="3" t="s">
        <v>71</v>
      </c>
      <c r="B64" s="4">
        <v>0.027662037037037037</v>
      </c>
      <c r="C64" s="4">
        <v>0.020902777777777777</v>
      </c>
      <c r="D64" s="4">
        <v>0.0</v>
      </c>
      <c r="E64" s="4">
        <v>0.03986111111111111</v>
      </c>
      <c r="F64" s="4">
        <v>0.021041666666666667</v>
      </c>
      <c r="G64" s="4">
        <v>0.0</v>
      </c>
      <c r="H64" s="4">
        <v>0.0</v>
      </c>
      <c r="I64" s="4">
        <v>0.11005787037037038</v>
      </c>
    </row>
    <row r="65" ht="15.75" customHeight="1">
      <c r="A65" s="3" t="s">
        <v>72</v>
      </c>
      <c r="B65" s="4">
        <v>0.01542824074074074</v>
      </c>
      <c r="C65" s="4">
        <v>0.020787037037037038</v>
      </c>
      <c r="D65" s="4">
        <v>0.0</v>
      </c>
      <c r="E65" s="4">
        <v>0.04148148148148148</v>
      </c>
      <c r="F65" s="4">
        <v>0.020891203703703703</v>
      </c>
      <c r="G65" s="4">
        <v>0.0</v>
      </c>
      <c r="H65" s="4">
        <v>0.0</v>
      </c>
      <c r="I65" s="4">
        <v>0.10043981481481482</v>
      </c>
    </row>
    <row r="66" ht="15.75" customHeight="1">
      <c r="A66" s="3" t="s">
        <v>73</v>
      </c>
      <c r="B66" s="4">
        <v>0.0</v>
      </c>
      <c r="C66" s="4">
        <v>0.010324074074074074</v>
      </c>
      <c r="D66" s="4">
        <v>0.0</v>
      </c>
      <c r="E66" s="4">
        <v>0.0</v>
      </c>
      <c r="F66" s="4">
        <v>0.0</v>
      </c>
      <c r="G66" s="4">
        <v>0.010081018518518519</v>
      </c>
      <c r="H66" s="4">
        <v>0.0</v>
      </c>
      <c r="I66" s="4">
        <v>0.02053240740740741</v>
      </c>
    </row>
    <row r="67" ht="15.75" customHeight="1">
      <c r="A67" s="3" t="s">
        <v>74</v>
      </c>
      <c r="B67" s="4">
        <v>0.02763888888888889</v>
      </c>
      <c r="C67" s="4">
        <v>0.014699074074074074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0.051423611111111114</v>
      </c>
    </row>
    <row r="68" ht="15.75" customHeight="1">
      <c r="A68" s="3" t="s">
        <v>75</v>
      </c>
      <c r="B68" s="4">
        <v>0.029155092592592594</v>
      </c>
      <c r="C68" s="4">
        <v>0.01734953703703704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0.04753472222222222</v>
      </c>
    </row>
    <row r="69" ht="15.75" customHeight="1">
      <c r="A69" s="3" t="s">
        <v>76</v>
      </c>
      <c r="B69" s="4">
        <v>0.027650462962962963</v>
      </c>
      <c r="C69" s="4">
        <v>0.019976851851851853</v>
      </c>
      <c r="D69" s="4">
        <v>0.04574074074074074</v>
      </c>
      <c r="E69" s="4">
        <v>0.0</v>
      </c>
      <c r="F69" s="4">
        <v>0.0</v>
      </c>
      <c r="G69" s="4">
        <v>0.0</v>
      </c>
      <c r="H69" s="4">
        <v>0.0</v>
      </c>
      <c r="I69" s="4">
        <v>0.09395833333333334</v>
      </c>
    </row>
    <row r="70" ht="15.75" customHeight="1">
      <c r="A70" s="3" t="s">
        <v>77</v>
      </c>
      <c r="B70" s="4">
        <v>0.027766203703703703</v>
      </c>
      <c r="C70" s="4">
        <v>0.020775462962962964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0.04864583333333333</v>
      </c>
    </row>
    <row r="71" ht="15.75" customHeight="1">
      <c r="A71" s="3" t="s">
        <v>78</v>
      </c>
      <c r="B71" s="4">
        <v>0.027824074074074074</v>
      </c>
      <c r="C71" s="4">
        <v>0.020613425925925927</v>
      </c>
      <c r="D71" s="4">
        <v>0.0</v>
      </c>
      <c r="E71" s="4">
        <v>0.0</v>
      </c>
      <c r="F71" s="4">
        <v>0.019108796296296297</v>
      </c>
      <c r="G71" s="4">
        <v>0.0</v>
      </c>
      <c r="H71" s="4">
        <v>0.0</v>
      </c>
      <c r="I71" s="4">
        <v>0.06765046296296297</v>
      </c>
    </row>
    <row r="72" ht="15.75" customHeight="1">
      <c r="A72" s="3" t="s">
        <v>79</v>
      </c>
      <c r="B72" s="4">
        <v>0.027708333333333335</v>
      </c>
      <c r="C72" s="4">
        <v>0.020717592592592593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0.04853009259259259</v>
      </c>
    </row>
    <row r="73" ht="15.75" customHeight="1">
      <c r="A73" s="3" t="s">
        <v>80</v>
      </c>
      <c r="B73" s="4">
        <v>0.02763888888888889</v>
      </c>
      <c r="C73" s="4">
        <v>0.020763888888888887</v>
      </c>
      <c r="D73" s="4">
        <v>0.0</v>
      </c>
      <c r="E73" s="4">
        <v>0.0</v>
      </c>
      <c r="F73" s="4">
        <v>0.017858796296296296</v>
      </c>
      <c r="G73" s="4">
        <v>0.0</v>
      </c>
      <c r="H73" s="4">
        <v>0.0</v>
      </c>
      <c r="I73" s="4">
        <v>0.0667013888888889</v>
      </c>
    </row>
    <row r="74" ht="15.75" customHeight="1">
      <c r="A74" s="3" t="s">
        <v>81</v>
      </c>
      <c r="B74" s="4">
        <v>0.027430555555555555</v>
      </c>
      <c r="C74" s="4">
        <v>0.020046296296296295</v>
      </c>
      <c r="D74" s="4">
        <v>0.04248842592592592</v>
      </c>
      <c r="E74" s="4">
        <v>0.0</v>
      </c>
      <c r="F74" s="4">
        <v>0.0</v>
      </c>
      <c r="G74" s="4">
        <v>0.0</v>
      </c>
      <c r="H74" s="4">
        <v>0.0</v>
      </c>
      <c r="I74" s="4">
        <v>0.09159722222222222</v>
      </c>
    </row>
    <row r="75" ht="15.75" customHeight="1">
      <c r="A75" s="3" t="s">
        <v>82</v>
      </c>
      <c r="B75" s="4">
        <v>0.027731481481481482</v>
      </c>
      <c r="C75" s="4">
        <v>0.020833333333333332</v>
      </c>
      <c r="D75" s="4">
        <v>0.0</v>
      </c>
      <c r="E75" s="4">
        <v>0.0</v>
      </c>
      <c r="F75" s="4">
        <v>0.05296296296296296</v>
      </c>
      <c r="G75" s="4">
        <v>0.0</v>
      </c>
      <c r="H75" s="4">
        <v>0.0</v>
      </c>
      <c r="I75" s="4">
        <v>0.10168981481481482</v>
      </c>
    </row>
    <row r="76" ht="15.75" customHeight="1">
      <c r="A76" s="3" t="s">
        <v>83</v>
      </c>
      <c r="B76" s="4">
        <v>0.027766203703703703</v>
      </c>
      <c r="C76" s="4">
        <v>0.020810185185185185</v>
      </c>
      <c r="D76" s="4">
        <v>0.0</v>
      </c>
      <c r="E76" s="4">
        <v>0.0</v>
      </c>
      <c r="F76" s="4">
        <v>0.0</v>
      </c>
      <c r="G76" s="4">
        <v>0.0</v>
      </c>
      <c r="H76" s="4">
        <v>0.03145833333333333</v>
      </c>
      <c r="I76" s="4">
        <v>0.08016203703703703</v>
      </c>
    </row>
    <row r="77" ht="15.75" customHeight="1">
      <c r="A77" s="3" t="s">
        <v>84</v>
      </c>
      <c r="B77" s="4">
        <v>0.028657407407407406</v>
      </c>
      <c r="C77" s="4">
        <v>0.020300925925925927</v>
      </c>
      <c r="D77" s="4">
        <v>0.018900462962962963</v>
      </c>
      <c r="E77" s="4">
        <v>0.0</v>
      </c>
      <c r="F77" s="4">
        <v>0.0</v>
      </c>
      <c r="G77" s="4">
        <v>0.0</v>
      </c>
      <c r="H77" s="4">
        <v>0.0</v>
      </c>
      <c r="I77" s="4">
        <v>0.06854166666666667</v>
      </c>
    </row>
    <row r="78" ht="15.75" customHeight="1">
      <c r="A78" s="3" t="s">
        <v>85</v>
      </c>
      <c r="B78" s="4">
        <v>0.027118055555555555</v>
      </c>
      <c r="C78" s="4">
        <v>0.010428240740740741</v>
      </c>
      <c r="D78" s="4">
        <v>0.0</v>
      </c>
      <c r="E78" s="4">
        <v>0.0</v>
      </c>
      <c r="F78" s="4">
        <v>0.10876157407407408</v>
      </c>
      <c r="G78" s="4">
        <v>0.0</v>
      </c>
      <c r="H78" s="4">
        <v>0.028229166666666666</v>
      </c>
      <c r="I78" s="4">
        <v>0.17460648148148147</v>
      </c>
    </row>
    <row r="79" ht="15.75" customHeight="1">
      <c r="A79" s="3" t="s">
        <v>86</v>
      </c>
      <c r="B79" s="4">
        <v>0.027766203703703703</v>
      </c>
      <c r="C79" s="4">
        <v>0.011157407407407408</v>
      </c>
      <c r="D79" s="4">
        <v>0.04583333333333333</v>
      </c>
      <c r="E79" s="4">
        <v>0.0</v>
      </c>
      <c r="F79" s="4">
        <v>0.09642361111111111</v>
      </c>
      <c r="G79" s="4">
        <v>0.0</v>
      </c>
      <c r="H79" s="4">
        <v>0.0</v>
      </c>
      <c r="I79" s="4">
        <v>0.18131944444444445</v>
      </c>
    </row>
    <row r="80" ht="15.75" customHeight="1">
      <c r="A80" s="3" t="s">
        <v>87</v>
      </c>
      <c r="B80" s="4">
        <v>0.027662037037037037</v>
      </c>
      <c r="C80" s="4">
        <v>0.021006944444444446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0.048900462962962965</v>
      </c>
    </row>
    <row r="81" ht="15.75" customHeight="1">
      <c r="A81" s="3" t="s">
        <v>88</v>
      </c>
      <c r="B81" s="4">
        <v>0.02877314814814815</v>
      </c>
      <c r="C81" s="4">
        <v>0.01875</v>
      </c>
      <c r="D81" s="4">
        <v>0.061655092592592595</v>
      </c>
      <c r="E81" s="4">
        <v>0.0</v>
      </c>
      <c r="F81" s="4">
        <v>0.0</v>
      </c>
      <c r="G81" s="4">
        <v>0.0</v>
      </c>
      <c r="H81" s="4">
        <v>0.0</v>
      </c>
      <c r="I81" s="4">
        <v>0.10935185185185185</v>
      </c>
    </row>
    <row r="82" ht="15.75" customHeight="1">
      <c r="A82" s="3" t="s">
        <v>89</v>
      </c>
      <c r="B82" s="4">
        <v>0.025578703703703704</v>
      </c>
      <c r="C82" s="4">
        <v>0.010775462962962962</v>
      </c>
      <c r="D82" s="4">
        <v>0.0</v>
      </c>
      <c r="E82" s="4">
        <v>0.0</v>
      </c>
      <c r="F82" s="4">
        <v>0.10246527777777778</v>
      </c>
      <c r="G82" s="4">
        <v>0.0</v>
      </c>
      <c r="H82" s="4">
        <v>0.0</v>
      </c>
      <c r="I82" s="4">
        <v>0.13890046296296296</v>
      </c>
    </row>
    <row r="83" ht="15.75" customHeight="1">
      <c r="A83" s="3" t="s">
        <v>90</v>
      </c>
      <c r="B83" s="4">
        <v>0.030127314814814815</v>
      </c>
      <c r="C83" s="4">
        <v>0.01738425925925926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0.047592592592592596</v>
      </c>
    </row>
    <row r="84" ht="15.75" customHeight="1">
      <c r="A84" s="3" t="s">
        <v>91</v>
      </c>
      <c r="B84" s="4">
        <v>0.0</v>
      </c>
      <c r="C84" s="4">
        <v>0.020833333333333332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0.021064814814814814</v>
      </c>
    </row>
    <row r="85" ht="15.75" customHeight="1">
      <c r="A85" s="3" t="s">
        <v>92</v>
      </c>
      <c r="B85" s="4">
        <v>0.02724537037037037</v>
      </c>
      <c r="C85" s="4">
        <v>0.019710648148148147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0.04773148148148148</v>
      </c>
    </row>
    <row r="86" ht="15.75" customHeight="1">
      <c r="A86" s="3" t="s">
        <v>93</v>
      </c>
      <c r="B86" s="4">
        <v>0.027731481481481482</v>
      </c>
      <c r="C86" s="4">
        <v>0.017407407407407406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0.0475</v>
      </c>
    </row>
    <row r="87" ht="15.75" customHeight="1">
      <c r="A87" s="3" t="s">
        <v>94</v>
      </c>
      <c r="B87" s="4">
        <v>0.027546296296296298</v>
      </c>
      <c r="C87" s="4">
        <v>0.021030092592592593</v>
      </c>
      <c r="D87" s="4">
        <v>0.0</v>
      </c>
      <c r="E87" s="4">
        <v>0.0</v>
      </c>
      <c r="F87" s="4">
        <v>0.0</v>
      </c>
      <c r="G87" s="4">
        <v>0.0</v>
      </c>
      <c r="H87" s="4">
        <v>0.018541666666666668</v>
      </c>
      <c r="I87" s="4">
        <v>0.06743055555555555</v>
      </c>
    </row>
    <row r="88" ht="15.75" customHeight="1">
      <c r="A88" s="3" t="s">
        <v>95</v>
      </c>
      <c r="B88" s="4">
        <v>0.027835648148148148</v>
      </c>
      <c r="C88" s="4">
        <v>0.020717592592592593</v>
      </c>
      <c r="D88" s="4">
        <v>0.0</v>
      </c>
      <c r="E88" s="4">
        <v>0.0</v>
      </c>
      <c r="F88" s="4">
        <v>0.0</v>
      </c>
      <c r="G88" s="4">
        <v>0.0</v>
      </c>
      <c r="H88" s="4">
        <v>0.0061805555555555555</v>
      </c>
      <c r="I88" s="4">
        <v>0.054953703703703706</v>
      </c>
    </row>
    <row r="89" ht="15.75" customHeight="1">
      <c r="A89" s="3" t="s">
        <v>96</v>
      </c>
      <c r="B89" s="4">
        <v>0.028506944444444446</v>
      </c>
      <c r="C89" s="4">
        <v>0.012858796296296297</v>
      </c>
      <c r="D89" s="4">
        <v>0.0</v>
      </c>
      <c r="E89" s="4">
        <v>0.035474537037037034</v>
      </c>
      <c r="F89" s="4">
        <v>0.0</v>
      </c>
      <c r="G89" s="4">
        <v>0.0</v>
      </c>
      <c r="H89" s="4">
        <v>0.027800925925925927</v>
      </c>
      <c r="I89" s="4">
        <v>0.10712962962962963</v>
      </c>
    </row>
    <row r="90" ht="15.75" customHeight="1">
      <c r="A90" s="3" t="s">
        <v>97</v>
      </c>
      <c r="B90" s="4">
        <v>0.027627314814814816</v>
      </c>
      <c r="C90" s="4">
        <v>0.010532407407407407</v>
      </c>
      <c r="D90" s="4">
        <v>0.0</v>
      </c>
      <c r="E90" s="4">
        <v>0.13302083333333334</v>
      </c>
      <c r="F90" s="4">
        <v>0.10975694444444445</v>
      </c>
      <c r="G90" s="4">
        <v>0.0</v>
      </c>
      <c r="H90" s="4">
        <v>0.015486111111111112</v>
      </c>
      <c r="I90" s="4">
        <v>0.2974421296296296</v>
      </c>
    </row>
    <row r="91" ht="15.75" customHeight="1">
      <c r="A91" s="3" t="s">
        <v>98</v>
      </c>
      <c r="B91" s="4">
        <v>0.0275</v>
      </c>
      <c r="C91" s="4">
        <v>0.02079861111111111</v>
      </c>
      <c r="D91" s="4">
        <v>0.0</v>
      </c>
      <c r="E91" s="4">
        <v>0.0</v>
      </c>
      <c r="F91" s="4">
        <v>0.0</v>
      </c>
      <c r="G91" s="4">
        <v>0.0</v>
      </c>
      <c r="H91" s="4">
        <v>0.0010069444444444444</v>
      </c>
      <c r="I91" s="4">
        <v>0.0500462962962963</v>
      </c>
    </row>
    <row r="92" ht="15.75" customHeight="1">
      <c r="A92" s="3" t="s">
        <v>99</v>
      </c>
      <c r="B92" s="4">
        <v>0.027766203703703703</v>
      </c>
      <c r="C92" s="4">
        <v>0.02082175925925926</v>
      </c>
      <c r="D92" s="4">
        <v>0.0</v>
      </c>
      <c r="E92" s="4">
        <v>0.03634259259259259</v>
      </c>
      <c r="F92" s="4">
        <v>0.0</v>
      </c>
      <c r="G92" s="4">
        <v>0.0</v>
      </c>
      <c r="H92" s="4">
        <v>0.0</v>
      </c>
      <c r="I92" s="4">
        <v>0.08790509259259259</v>
      </c>
    </row>
    <row r="93" ht="15.75" customHeight="1">
      <c r="A93" s="3" t="s">
        <v>100</v>
      </c>
      <c r="B93" s="4">
        <v>0.0</v>
      </c>
      <c r="C93" s="4">
        <v>0.010451388888888889</v>
      </c>
      <c r="D93" s="4">
        <v>0.0</v>
      </c>
      <c r="E93" s="4">
        <v>0.0</v>
      </c>
      <c r="F93" s="4">
        <v>2.3148148148148147E-5</v>
      </c>
      <c r="G93" s="4">
        <v>0.005925925925925926</v>
      </c>
      <c r="H93" s="4">
        <v>0.0</v>
      </c>
      <c r="I93" s="4">
        <v>0.016979166666666667</v>
      </c>
    </row>
    <row r="94" ht="15.75" customHeight="1">
      <c r="A94" s="3" t="s">
        <v>101</v>
      </c>
      <c r="B94" s="4">
        <v>0.02761574074074074</v>
      </c>
      <c r="C94" s="4">
        <v>0.02053240740740741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0.048240740740740744</v>
      </c>
    </row>
    <row r="95" ht="15.75" customHeight="1">
      <c r="A95" s="3" t="s">
        <v>102</v>
      </c>
      <c r="B95" s="4">
        <v>0.027835648148148148</v>
      </c>
      <c r="C95" s="4">
        <v>0.019074074074074073</v>
      </c>
      <c r="D95" s="4">
        <v>0.0</v>
      </c>
      <c r="E95" s="4">
        <v>0.0</v>
      </c>
      <c r="F95" s="4">
        <v>0.10924768518518518</v>
      </c>
      <c r="G95" s="4">
        <v>0.0</v>
      </c>
      <c r="H95" s="4">
        <v>0.18746527777777777</v>
      </c>
      <c r="I95" s="4">
        <v>0.3438541666666667</v>
      </c>
    </row>
    <row r="96" ht="15.75" customHeight="1">
      <c r="A96" s="3" t="s">
        <v>103</v>
      </c>
      <c r="B96" s="4">
        <v>0.027280092592592592</v>
      </c>
      <c r="C96" s="4">
        <v>0.011979166666666667</v>
      </c>
      <c r="D96" s="4">
        <v>0.0</v>
      </c>
      <c r="E96" s="4">
        <v>0.0</v>
      </c>
      <c r="F96" s="4">
        <v>0.10954861111111111</v>
      </c>
      <c r="G96" s="4">
        <v>0.0</v>
      </c>
      <c r="H96" s="4">
        <v>0.12869212962962964</v>
      </c>
      <c r="I96" s="4">
        <v>0.2775925925925926</v>
      </c>
    </row>
    <row r="97" ht="15.75" customHeight="1">
      <c r="A97" s="3" t="s">
        <v>104</v>
      </c>
      <c r="B97" s="4">
        <v>0.02746527777777778</v>
      </c>
      <c r="C97" s="4">
        <v>0.020289351851851854</v>
      </c>
      <c r="D97" s="4">
        <v>0.0</v>
      </c>
      <c r="E97" s="4">
        <v>0.0</v>
      </c>
      <c r="F97" s="4">
        <v>0.0</v>
      </c>
      <c r="G97" s="4">
        <v>0.002685185185185185</v>
      </c>
      <c r="H97" s="4">
        <v>0.0</v>
      </c>
      <c r="I97" s="4">
        <v>0.05122685185185185</v>
      </c>
    </row>
    <row r="98" ht="15.75" customHeight="1">
      <c r="A98" s="3" t="s">
        <v>105</v>
      </c>
      <c r="B98" s="4">
        <v>0.027685185185185184</v>
      </c>
      <c r="C98" s="4">
        <v>0.01056712962962963</v>
      </c>
      <c r="D98" s="4">
        <v>0.0</v>
      </c>
      <c r="E98" s="4">
        <v>0.0</v>
      </c>
      <c r="F98" s="4">
        <v>0.0</v>
      </c>
      <c r="G98" s="4">
        <v>0.0</v>
      </c>
      <c r="H98" s="4">
        <v>0.2013310185185185</v>
      </c>
      <c r="I98" s="4">
        <v>0.2397337962962963</v>
      </c>
    </row>
    <row r="99" ht="15.75" customHeight="1">
      <c r="A99" s="3" t="s">
        <v>106</v>
      </c>
      <c r="B99" s="4">
        <v>0.025833333333333333</v>
      </c>
      <c r="C99" s="4">
        <v>0.019583333333333335</v>
      </c>
      <c r="D99" s="4">
        <v>0.0</v>
      </c>
      <c r="E99" s="4">
        <v>0.04016203703703704</v>
      </c>
      <c r="F99" s="4">
        <v>0.0</v>
      </c>
      <c r="G99" s="4">
        <v>0.0</v>
      </c>
      <c r="H99" s="4">
        <v>0.0</v>
      </c>
      <c r="I99" s="4">
        <v>0.0867824074074074</v>
      </c>
    </row>
    <row r="100" ht="15.75" customHeight="1">
      <c r="A100" s="3" t="s">
        <v>107</v>
      </c>
      <c r="B100" s="4">
        <v>0.027569444444444445</v>
      </c>
      <c r="C100" s="4">
        <v>0.020671296296296295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0.04946759259259259</v>
      </c>
    </row>
    <row r="101" ht="15.75" customHeight="1">
      <c r="A101" s="3" t="s">
        <v>108</v>
      </c>
      <c r="B101" s="4">
        <v>0.026678240740740742</v>
      </c>
      <c r="C101" s="4">
        <v>0.021493055555555557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0.048240740740740744</v>
      </c>
    </row>
    <row r="102" ht="15.75" customHeight="1">
      <c r="A102" s="3" t="s">
        <v>109</v>
      </c>
      <c r="B102" s="4">
        <v>0.014884259259259259</v>
      </c>
      <c r="C102" s="4">
        <v>0.03375</v>
      </c>
      <c r="D102" s="4">
        <v>0.0</v>
      </c>
      <c r="E102" s="4">
        <v>0.0371875</v>
      </c>
      <c r="F102" s="4">
        <v>0.0</v>
      </c>
      <c r="G102" s="4">
        <v>0.0</v>
      </c>
      <c r="H102" s="4">
        <v>0.02181712962962963</v>
      </c>
      <c r="I102" s="4">
        <v>0.11229166666666666</v>
      </c>
    </row>
    <row r="103" ht="15.75" customHeight="1">
      <c r="A103" s="3" t="s">
        <v>110</v>
      </c>
      <c r="B103" s="4">
        <v>0.027708333333333335</v>
      </c>
      <c r="C103" s="4">
        <v>0.020289351851851854</v>
      </c>
      <c r="D103" s="4">
        <v>0.0</v>
      </c>
      <c r="E103" s="4">
        <v>0.0</v>
      </c>
      <c r="F103" s="4">
        <v>0.0</v>
      </c>
      <c r="G103" s="4">
        <v>0.0</v>
      </c>
      <c r="H103" s="4">
        <v>0.02851851851851852</v>
      </c>
      <c r="I103" s="4">
        <v>0.07681712962962962</v>
      </c>
    </row>
    <row r="104" ht="15.75" customHeight="1">
      <c r="A104" s="3" t="s">
        <v>111</v>
      </c>
      <c r="B104" s="4">
        <v>0.026099537037037036</v>
      </c>
      <c r="C104" s="4">
        <v>0.02662037037037037</v>
      </c>
      <c r="D104" s="4">
        <v>0.0</v>
      </c>
      <c r="E104" s="4">
        <v>0.0</v>
      </c>
      <c r="F104" s="4">
        <v>0.0</v>
      </c>
      <c r="G104" s="4">
        <v>0.0</v>
      </c>
      <c r="H104" s="4">
        <v>0.013854166666666667</v>
      </c>
      <c r="I104" s="4">
        <v>0.0673263888888889</v>
      </c>
    </row>
    <row r="105" ht="15.75" customHeight="1">
      <c r="A105" s="3" t="s">
        <v>112</v>
      </c>
      <c r="B105" s="4">
        <v>0.02644675925925926</v>
      </c>
      <c r="C105" s="4">
        <v>0.020868055555555556</v>
      </c>
      <c r="D105" s="4">
        <v>0.05434027777777778</v>
      </c>
      <c r="E105" s="4">
        <v>0.0</v>
      </c>
      <c r="F105" s="4">
        <v>0.10902777777777778</v>
      </c>
      <c r="G105" s="4">
        <v>0.0</v>
      </c>
      <c r="H105" s="4">
        <v>0.002488425925925926</v>
      </c>
      <c r="I105" s="4">
        <v>0.21383101851851852</v>
      </c>
    </row>
    <row r="106" ht="15.75" customHeight="1">
      <c r="A106" s="3" t="s">
        <v>113</v>
      </c>
      <c r="B106" s="4">
        <v>0.029502314814814815</v>
      </c>
      <c r="C106" s="4">
        <v>0.02056712962962963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0.05092592592592592</v>
      </c>
    </row>
    <row r="107" ht="15.75" customHeight="1">
      <c r="A107" s="3" t="s">
        <v>114</v>
      </c>
      <c r="B107" s="4">
        <v>0.02775462962962963</v>
      </c>
      <c r="C107" s="4">
        <v>0.02045138888888889</v>
      </c>
      <c r="D107" s="4">
        <v>0.0</v>
      </c>
      <c r="E107" s="4">
        <v>0.0</v>
      </c>
      <c r="F107" s="4">
        <v>0.0</v>
      </c>
      <c r="G107" s="4">
        <v>0.0</v>
      </c>
      <c r="H107" s="4">
        <v>0.29631944444444447</v>
      </c>
      <c r="I107" s="4">
        <v>0.3451388888888889</v>
      </c>
    </row>
    <row r="108" ht="15.75" customHeight="1">
      <c r="A108" s="3" t="s">
        <v>115</v>
      </c>
      <c r="B108" s="4">
        <v>0.027604166666666666</v>
      </c>
      <c r="C108" s="4">
        <v>0.01853009259259259</v>
      </c>
      <c r="D108" s="4">
        <v>0.04423611111111111</v>
      </c>
      <c r="E108" s="4">
        <v>0.0</v>
      </c>
      <c r="F108" s="4">
        <v>0.0</v>
      </c>
      <c r="G108" s="4">
        <v>0.0</v>
      </c>
      <c r="H108" s="4">
        <v>0.0</v>
      </c>
      <c r="I108" s="4">
        <v>0.09046296296296297</v>
      </c>
    </row>
    <row r="109" ht="15.75" customHeight="1">
      <c r="A109" s="3" t="s">
        <v>116</v>
      </c>
      <c r="B109" s="4">
        <v>0.019444444444444445</v>
      </c>
      <c r="C109" s="4">
        <v>0.017673611111111112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0.037349537037037035</v>
      </c>
    </row>
    <row r="110" ht="15.75" customHeight="1">
      <c r="A110" s="3" t="s">
        <v>117</v>
      </c>
      <c r="B110" s="4">
        <v>0.027199074074074073</v>
      </c>
      <c r="C110" s="4">
        <v>0.02079861111111111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0.04819444444444444</v>
      </c>
    </row>
    <row r="111" ht="15.75" customHeight="1">
      <c r="A111" s="3" t="s">
        <v>118</v>
      </c>
      <c r="B111" s="4">
        <v>0.028333333333333332</v>
      </c>
      <c r="C111" s="4">
        <v>0.019224537037037037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0.047685185185185185</v>
      </c>
    </row>
    <row r="112" ht="15.75" customHeight="1">
      <c r="A112" s="3" t="s">
        <v>119</v>
      </c>
      <c r="B112" s="4">
        <v>0.027650462962962963</v>
      </c>
      <c r="C112" s="4">
        <v>0.02034722222222222</v>
      </c>
      <c r="D112" s="4">
        <v>0.0</v>
      </c>
      <c r="E112" s="4">
        <v>0.0</v>
      </c>
      <c r="F112" s="4">
        <v>0.0</v>
      </c>
      <c r="G112" s="4">
        <v>0.0</v>
      </c>
      <c r="H112" s="4">
        <v>0.033993055555555554</v>
      </c>
      <c r="I112" s="4">
        <v>0.08297453703703704</v>
      </c>
    </row>
    <row r="113" ht="15.75" customHeight="1">
      <c r="A113" s="3" t="s">
        <v>120</v>
      </c>
      <c r="B113" s="4">
        <v>0.02726851851851852</v>
      </c>
      <c r="C113" s="4">
        <v>0.020648148148148148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0.048414351851851854</v>
      </c>
    </row>
    <row r="114" ht="15.75" customHeight="1">
      <c r="A114" s="3" t="s">
        <v>121</v>
      </c>
      <c r="B114" s="4">
        <v>0.027870370370370372</v>
      </c>
      <c r="C114" s="4">
        <v>0.020625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0.04878472222222222</v>
      </c>
    </row>
    <row r="115" ht="15.75" customHeight="1">
      <c r="A115" s="3" t="s">
        <v>122</v>
      </c>
      <c r="B115" s="4">
        <v>0.027627314814814816</v>
      </c>
      <c r="C115" s="4">
        <v>0.020787037037037038</v>
      </c>
      <c r="D115" s="4">
        <v>0.0</v>
      </c>
      <c r="E115" s="4">
        <v>0.0</v>
      </c>
      <c r="F115" s="4">
        <v>0.0</v>
      </c>
      <c r="G115" s="4">
        <v>2.3148148148148147E-5</v>
      </c>
      <c r="H115" s="4">
        <v>0.002800925925925926</v>
      </c>
      <c r="I115" s="4">
        <v>0.05134259259259259</v>
      </c>
    </row>
    <row r="116" ht="15.75" customHeight="1">
      <c r="A116" s="3" t="s">
        <v>123</v>
      </c>
      <c r="B116" s="4">
        <v>0.027685185185185184</v>
      </c>
      <c r="C116" s="4">
        <v>0.02053240740740741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0.04847222222222222</v>
      </c>
    </row>
    <row r="117" ht="15.75" customHeight="1">
      <c r="A117" s="3" t="s">
        <v>124</v>
      </c>
      <c r="B117" s="4">
        <v>0.027789351851851853</v>
      </c>
      <c r="C117" s="4">
        <v>0.021064814814814814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0.04928240740740741</v>
      </c>
    </row>
    <row r="118" ht="15.75" customHeight="1">
      <c r="A118" s="3" t="s">
        <v>125</v>
      </c>
      <c r="B118" s="4">
        <v>0.02900462962962963</v>
      </c>
      <c r="C118" s="4">
        <v>0.01954861111111111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0.050011574074074076</v>
      </c>
    </row>
    <row r="119" ht="15.75" customHeight="1">
      <c r="A119" s="3" t="s">
        <v>126</v>
      </c>
      <c r="B119" s="4">
        <v>0.026921296296296297</v>
      </c>
      <c r="C119" s="4">
        <v>0.02053240740740741</v>
      </c>
      <c r="D119" s="4">
        <v>0.0</v>
      </c>
      <c r="E119" s="4">
        <v>0.0</v>
      </c>
      <c r="F119" s="4">
        <v>0.0</v>
      </c>
      <c r="G119" s="4">
        <v>0.0</v>
      </c>
      <c r="H119" s="4">
        <v>0.016226851851851853</v>
      </c>
      <c r="I119" s="4">
        <v>0.06431712962962963</v>
      </c>
    </row>
    <row r="120" ht="15.75" customHeight="1">
      <c r="A120" s="3" t="s">
        <v>127</v>
      </c>
      <c r="B120" s="4">
        <v>0.02949074074074074</v>
      </c>
      <c r="C120" s="4">
        <v>0.017430555555555557</v>
      </c>
      <c r="D120" s="4">
        <v>0.0</v>
      </c>
      <c r="E120" s="4">
        <v>0.0</v>
      </c>
      <c r="F120" s="4">
        <v>0.0</v>
      </c>
      <c r="G120" s="4">
        <v>0.0</v>
      </c>
      <c r="H120" s="4">
        <v>0.022141203703703705</v>
      </c>
      <c r="I120" s="4">
        <v>0.07334490740740741</v>
      </c>
    </row>
    <row r="121" ht="15.75" customHeight="1">
      <c r="A121" s="3" t="s">
        <v>128</v>
      </c>
      <c r="B121" s="4">
        <v>0.026851851851851852</v>
      </c>
      <c r="C121" s="4">
        <v>0.020196759259259258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0.04775462962962963</v>
      </c>
    </row>
    <row r="122" ht="15.75" customHeight="1">
      <c r="A122" s="3" t="s">
        <v>129</v>
      </c>
      <c r="B122" s="4">
        <v>0.027546296296296298</v>
      </c>
      <c r="C122" s="4">
        <v>0.020694444444444446</v>
      </c>
      <c r="D122" s="4">
        <v>0.0</v>
      </c>
      <c r="E122" s="4">
        <v>0.0</v>
      </c>
      <c r="F122" s="4">
        <v>0.10515046296296296</v>
      </c>
      <c r="G122" s="4">
        <v>0.0</v>
      </c>
      <c r="H122" s="4">
        <v>0.0</v>
      </c>
      <c r="I122" s="4">
        <v>0.15493055555555554</v>
      </c>
    </row>
    <row r="123" ht="15.75" customHeight="1">
      <c r="A123" s="3" t="s">
        <v>130</v>
      </c>
      <c r="B123" s="4">
        <v>0.02736111111111111</v>
      </c>
      <c r="C123" s="4">
        <v>0.02133101851851852</v>
      </c>
      <c r="D123" s="4">
        <v>0.058090277777777775</v>
      </c>
      <c r="E123" s="4">
        <v>0.0</v>
      </c>
      <c r="F123" s="4">
        <v>0.0</v>
      </c>
      <c r="G123" s="4">
        <v>0.0</v>
      </c>
      <c r="H123" s="4">
        <v>0.028356481481481483</v>
      </c>
      <c r="I123" s="4">
        <v>0.13547453703703705</v>
      </c>
    </row>
    <row r="124" ht="15.75" customHeight="1">
      <c r="A124" s="3" t="s">
        <v>131</v>
      </c>
      <c r="B124" s="4">
        <v>0.02736111111111111</v>
      </c>
      <c r="C124" s="4">
        <v>0.020474537037037038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0.04859953703703704</v>
      </c>
    </row>
    <row r="125" ht="15.75" customHeight="1">
      <c r="A125" s="3" t="s">
        <v>132</v>
      </c>
      <c r="B125" s="4">
        <v>0.02459490740740741</v>
      </c>
      <c r="C125" s="4">
        <v>0.011064814814814816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0.03864583333333333</v>
      </c>
    </row>
    <row r="126" ht="15.75" customHeight="1">
      <c r="A126" s="3" t="s">
        <v>133</v>
      </c>
      <c r="B126" s="4">
        <v>0.028587962962962964</v>
      </c>
      <c r="C126" s="4">
        <v>0.02039351851851852</v>
      </c>
      <c r="D126" s="4">
        <v>0.0</v>
      </c>
      <c r="E126" s="4">
        <v>0.0</v>
      </c>
      <c r="F126" s="4">
        <v>0.0</v>
      </c>
      <c r="G126" s="4">
        <v>0.0</v>
      </c>
      <c r="H126" s="4">
        <v>0.02079861111111111</v>
      </c>
      <c r="I126" s="4">
        <v>0.07048611111111111</v>
      </c>
    </row>
    <row r="127" ht="15.75" customHeight="1">
      <c r="A127" s="3" t="s">
        <v>134</v>
      </c>
      <c r="B127" s="4">
        <v>0.02753472222222222</v>
      </c>
      <c r="C127" s="4">
        <v>0.010034722222222223</v>
      </c>
      <c r="D127" s="4">
        <v>0.0</v>
      </c>
      <c r="E127" s="4">
        <v>0.0</v>
      </c>
      <c r="F127" s="4">
        <v>0.10326388888888889</v>
      </c>
      <c r="G127" s="4">
        <v>0.0</v>
      </c>
      <c r="H127" s="4">
        <v>0.0</v>
      </c>
      <c r="I127" s="4">
        <v>0.14153935185185185</v>
      </c>
    </row>
    <row r="128" ht="15.75" customHeight="1">
      <c r="A128" s="3" t="s">
        <v>135</v>
      </c>
      <c r="B128" s="4">
        <v>0.02736111111111111</v>
      </c>
      <c r="C128" s="4">
        <v>0.021550925925925925</v>
      </c>
      <c r="D128" s="4">
        <v>0.0</v>
      </c>
      <c r="E128" s="4">
        <v>0.04556712962962963</v>
      </c>
      <c r="F128" s="4">
        <v>0.0</v>
      </c>
      <c r="G128" s="4">
        <v>0.0</v>
      </c>
      <c r="H128" s="4">
        <v>0.0</v>
      </c>
      <c r="I128" s="4">
        <v>0.09569444444444444</v>
      </c>
    </row>
    <row r="129" ht="15.75" customHeight="1">
      <c r="A129" s="3" t="s">
        <v>136</v>
      </c>
      <c r="B129" s="4">
        <v>0.027430555555555555</v>
      </c>
      <c r="C129" s="4">
        <v>0.02065972222222222</v>
      </c>
      <c r="D129" s="4">
        <v>0.0</v>
      </c>
      <c r="E129" s="4">
        <v>0.0</v>
      </c>
      <c r="F129" s="4">
        <v>0.0</v>
      </c>
      <c r="G129" s="4">
        <v>0.006400462962962963</v>
      </c>
      <c r="H129" s="4">
        <v>0.0</v>
      </c>
      <c r="I129" s="4">
        <v>0.05523148148148148</v>
      </c>
    </row>
    <row r="130" ht="15.75" customHeight="1">
      <c r="A130" s="3" t="s">
        <v>137</v>
      </c>
      <c r="B130" s="4">
        <v>0.027407407407407408</v>
      </c>
      <c r="C130" s="4">
        <v>0.020381944444444446</v>
      </c>
      <c r="D130" s="4">
        <v>0.0</v>
      </c>
      <c r="E130" s="4">
        <v>0.03665509259259259</v>
      </c>
      <c r="F130" s="4">
        <v>0.10546296296296297</v>
      </c>
      <c r="G130" s="4">
        <v>0.0</v>
      </c>
      <c r="H130" s="4">
        <v>0.0</v>
      </c>
      <c r="I130" s="4">
        <v>0.19140046296296295</v>
      </c>
    </row>
    <row r="131" ht="15.75" customHeight="1">
      <c r="A131" s="3" t="s">
        <v>138</v>
      </c>
      <c r="B131" s="4">
        <v>0.027650462962962963</v>
      </c>
      <c r="C131" s="4">
        <v>0.020729166666666667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0.04850694444444444</v>
      </c>
    </row>
    <row r="132" ht="15.75" customHeight="1">
      <c r="A132" s="3" t="s">
        <v>139</v>
      </c>
      <c r="B132" s="4">
        <v>0.02763888888888889</v>
      </c>
      <c r="C132" s="4">
        <v>0.02065972222222222</v>
      </c>
      <c r="D132" s="4">
        <v>0.0</v>
      </c>
      <c r="E132" s="4">
        <v>0.0</v>
      </c>
      <c r="F132" s="4">
        <v>0.0</v>
      </c>
      <c r="G132" s="4">
        <v>0.0</v>
      </c>
      <c r="H132" s="4">
        <v>0.03293981481481482</v>
      </c>
      <c r="I132" s="4">
        <v>0.08142361111111111</v>
      </c>
    </row>
    <row r="133" ht="15.75" customHeight="1">
      <c r="A133" s="3" t="s">
        <v>140</v>
      </c>
      <c r="B133" s="4">
        <v>0.027141203703703702</v>
      </c>
      <c r="C133" s="4">
        <v>0.010601851851851852</v>
      </c>
      <c r="D133" s="4">
        <v>0.0</v>
      </c>
      <c r="E133" s="4">
        <v>0.0</v>
      </c>
      <c r="F133" s="4">
        <v>0.0</v>
      </c>
      <c r="G133" s="4">
        <v>0.0</v>
      </c>
      <c r="H133" s="4">
        <v>0.15319444444444444</v>
      </c>
      <c r="I133" s="4">
        <v>0.19189814814814815</v>
      </c>
    </row>
    <row r="134" ht="15.75" customHeight="1">
      <c r="A134" s="3" t="s">
        <v>141</v>
      </c>
      <c r="B134" s="4">
        <v>0.03017361111111111</v>
      </c>
      <c r="C134" s="4">
        <v>0.019849537037037037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0.051666666666666666</v>
      </c>
    </row>
    <row r="135" ht="15.75" customHeight="1">
      <c r="A135" s="3" t="s">
        <v>142</v>
      </c>
      <c r="B135" s="4">
        <v>0.027881944444444445</v>
      </c>
      <c r="C135" s="4">
        <v>0.035104166666666665</v>
      </c>
      <c r="D135" s="4">
        <v>2.3148148148148147E-5</v>
      </c>
      <c r="E135" s="4">
        <v>0.0</v>
      </c>
      <c r="F135" s="4">
        <v>0.0</v>
      </c>
      <c r="G135" s="4">
        <v>0.0017708333333333332</v>
      </c>
      <c r="H135" s="4">
        <v>0.09925925925925926</v>
      </c>
      <c r="I135" s="4">
        <v>0.1645486111111111</v>
      </c>
    </row>
    <row r="136" ht="15.75" customHeight="1">
      <c r="A136" s="3" t="s">
        <v>143</v>
      </c>
      <c r="B136" s="4">
        <v>0.02451388888888889</v>
      </c>
      <c r="C136" s="4">
        <v>0.019976851851851853</v>
      </c>
      <c r="D136" s="4">
        <v>0.05033564814814815</v>
      </c>
      <c r="E136" s="4">
        <v>0.0</v>
      </c>
      <c r="F136" s="4">
        <v>0.0</v>
      </c>
      <c r="G136" s="4">
        <v>0.0</v>
      </c>
      <c r="H136" s="4">
        <v>0.0</v>
      </c>
      <c r="I136" s="4">
        <v>0.09503472222222223</v>
      </c>
    </row>
    <row r="137" ht="15.75" customHeight="1">
      <c r="A137" s="3" t="s">
        <v>144</v>
      </c>
      <c r="B137" s="4">
        <v>0.0278125</v>
      </c>
      <c r="C137" s="4">
        <v>0.021261574074074075</v>
      </c>
      <c r="D137" s="4">
        <v>0.0</v>
      </c>
      <c r="E137" s="4">
        <v>0.03878472222222222</v>
      </c>
      <c r="F137" s="4">
        <v>0.0</v>
      </c>
      <c r="G137" s="4">
        <v>0.0</v>
      </c>
      <c r="H137" s="4">
        <v>0.0</v>
      </c>
      <c r="I137" s="4">
        <v>0.08799768518518518</v>
      </c>
    </row>
    <row r="138" ht="15.75" customHeight="1">
      <c r="A138" s="3" t="s">
        <v>145</v>
      </c>
      <c r="B138" s="4">
        <v>0.02795138888888889</v>
      </c>
      <c r="C138" s="4">
        <v>0.019097222222222224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0.04739583333333333</v>
      </c>
    </row>
    <row r="139" ht="15.75" customHeight="1">
      <c r="A139" s="3" t="s">
        <v>146</v>
      </c>
      <c r="B139" s="4">
        <v>0.0</v>
      </c>
      <c r="C139" s="4">
        <v>0.019305555555555555</v>
      </c>
      <c r="D139" s="4">
        <v>0.0</v>
      </c>
      <c r="E139" s="4">
        <v>0.0</v>
      </c>
      <c r="F139" s="4">
        <v>0.13769675925925925</v>
      </c>
      <c r="G139" s="4">
        <v>0.0</v>
      </c>
      <c r="H139" s="4">
        <v>0.0</v>
      </c>
      <c r="I139" s="4">
        <v>0.1575462962962963</v>
      </c>
    </row>
    <row r="140" ht="15.75" customHeight="1">
      <c r="A140" s="3" t="s">
        <v>147</v>
      </c>
      <c r="B140" s="4">
        <v>0.027569444444444445</v>
      </c>
      <c r="C140" s="4">
        <v>0.02039351851851852</v>
      </c>
      <c r="D140" s="4">
        <v>0.045821759259259257</v>
      </c>
      <c r="E140" s="4">
        <v>0.0</v>
      </c>
      <c r="F140" s="4">
        <v>0.0</v>
      </c>
      <c r="G140" s="4">
        <v>0.0</v>
      </c>
      <c r="H140" s="4">
        <v>0.0</v>
      </c>
      <c r="I140" s="4">
        <v>0.09519675925925926</v>
      </c>
    </row>
    <row r="141" ht="15.75" customHeight="1">
      <c r="A141" s="3" t="s">
        <v>148</v>
      </c>
      <c r="B141" s="4">
        <v>0.02789351851851852</v>
      </c>
      <c r="C141" s="4">
        <v>0.020844907407407406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0.048854166666666664</v>
      </c>
    </row>
    <row r="142" ht="15.75" customHeight="1">
      <c r="A142" s="3" t="s">
        <v>149</v>
      </c>
      <c r="B142" s="4">
        <v>0.027337962962962963</v>
      </c>
      <c r="C142" s="4">
        <v>0.019872685185185184</v>
      </c>
      <c r="D142" s="4">
        <v>0.0</v>
      </c>
      <c r="E142" s="4">
        <v>0.03775462962962963</v>
      </c>
      <c r="F142" s="4">
        <v>0.10428240740740741</v>
      </c>
      <c r="G142" s="4">
        <v>0.0</v>
      </c>
      <c r="H142" s="4">
        <v>0.0</v>
      </c>
      <c r="I142" s="4">
        <v>0.18931712962962963</v>
      </c>
    </row>
    <row r="143" ht="15.75" customHeight="1">
      <c r="A143" s="3" t="s">
        <v>150</v>
      </c>
      <c r="B143" s="4">
        <v>0.024120370370370372</v>
      </c>
      <c r="C143" s="4">
        <v>0.02050925925925926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0.05189814814814815</v>
      </c>
    </row>
    <row r="144" ht="15.75" customHeight="1">
      <c r="A144" s="3" t="s">
        <v>151</v>
      </c>
      <c r="B144" s="4">
        <v>0.026261574074074073</v>
      </c>
      <c r="C144" s="4">
        <v>0.021423611111111112</v>
      </c>
      <c r="D144" s="4">
        <v>0.0</v>
      </c>
      <c r="E144" s="4">
        <v>0.0</v>
      </c>
      <c r="F144" s="4">
        <v>0.0</v>
      </c>
      <c r="G144" s="4">
        <v>0.0</v>
      </c>
      <c r="H144" s="4">
        <v>0.16267361111111112</v>
      </c>
      <c r="I144" s="4">
        <v>0.21081018518518518</v>
      </c>
    </row>
    <row r="145" ht="15.75" customHeight="1">
      <c r="A145" s="3" t="s">
        <v>152</v>
      </c>
      <c r="B145" s="4">
        <v>0.027604166666666666</v>
      </c>
      <c r="C145" s="4">
        <v>0.022314814814814815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0.0500462962962963</v>
      </c>
    </row>
    <row r="146" ht="15.75" customHeight="1">
      <c r="A146" s="3" t="s">
        <v>153</v>
      </c>
      <c r="B146" s="4">
        <v>0.027777777777777776</v>
      </c>
      <c r="C146" s="4">
        <v>0.010381944444444444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0.03894675925925926</v>
      </c>
    </row>
    <row r="147" ht="15.75" customHeight="1">
      <c r="A147" s="3" t="s">
        <v>154</v>
      </c>
      <c r="B147" s="4">
        <v>0.030208333333333334</v>
      </c>
      <c r="C147" s="4">
        <v>0.01568287037037037</v>
      </c>
      <c r="D147" s="4">
        <v>0.0</v>
      </c>
      <c r="E147" s="4">
        <v>0.04608796296296296</v>
      </c>
      <c r="F147" s="4">
        <v>0.0</v>
      </c>
      <c r="G147" s="4">
        <v>0.0</v>
      </c>
      <c r="H147" s="4">
        <v>0.0746875</v>
      </c>
      <c r="I147" s="4">
        <v>0.1684027777777778</v>
      </c>
    </row>
    <row r="148" ht="15.75" customHeight="1">
      <c r="A148" s="3" t="s">
        <v>155</v>
      </c>
      <c r="B148" s="4">
        <v>0.02369212962962963</v>
      </c>
      <c r="C148" s="4">
        <v>0.02462962962962963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0.05012731481481481</v>
      </c>
    </row>
    <row r="149" ht="15.75" customHeight="1">
      <c r="A149" s="3" t="s">
        <v>156</v>
      </c>
      <c r="B149" s="4">
        <v>0.0</v>
      </c>
      <c r="C149" s="4">
        <v>0.010347222222222223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0.010451388888888889</v>
      </c>
    </row>
    <row r="150" ht="15.75" customHeight="1">
      <c r="A150" s="3" t="s">
        <v>157</v>
      </c>
      <c r="B150" s="4">
        <v>0.02784722222222222</v>
      </c>
      <c r="C150" s="4">
        <v>0.02025462962962963</v>
      </c>
      <c r="D150" s="4">
        <v>0.046412037037037036</v>
      </c>
      <c r="E150" s="4">
        <v>0.0</v>
      </c>
      <c r="F150" s="4">
        <v>0.0</v>
      </c>
      <c r="G150" s="4">
        <v>0.0</v>
      </c>
      <c r="H150" s="4">
        <v>0.0</v>
      </c>
      <c r="I150" s="4">
        <v>0.09503472222222223</v>
      </c>
    </row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0" footer="0.0" header="0.0" left="0.0" right="0.0" top="0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7.0"/>
    <col customWidth="1" min="2" max="2" width="18.25"/>
    <col customWidth="1" min="3" max="3" width="14.0"/>
    <col customWidth="1" min="4" max="4" width="13.13"/>
    <col customWidth="1" min="5" max="5" width="21.13"/>
    <col customWidth="1" min="6" max="6" width="15.38"/>
    <col customWidth="1" min="9" max="9" width="14.13"/>
    <col customWidth="1" min="10" max="10" width="11.38"/>
    <col customWidth="1" min="11" max="11" width="16.38"/>
    <col customWidth="1" min="13" max="13" width="13.25"/>
    <col customWidth="1" min="14" max="14" width="9.63"/>
    <col customWidth="1" min="15" max="15" width="15.38"/>
    <col customWidth="1" min="16" max="16" width="13.88"/>
    <col customWidth="1" min="17" max="17" width="7.63"/>
  </cols>
  <sheetData>
    <row r="1" ht="15.75" customHeight="1">
      <c r="A1" s="1" t="s">
        <v>0</v>
      </c>
      <c r="B1" s="2" t="s">
        <v>158</v>
      </c>
      <c r="C1" s="2" t="s">
        <v>159</v>
      </c>
      <c r="D1" s="2" t="s">
        <v>160</v>
      </c>
      <c r="E1" s="2" t="s">
        <v>161</v>
      </c>
      <c r="F1" s="2" t="s">
        <v>162</v>
      </c>
      <c r="G1" s="2" t="s">
        <v>163</v>
      </c>
      <c r="H1" s="2" t="s">
        <v>164</v>
      </c>
      <c r="I1" s="2" t="s">
        <v>165</v>
      </c>
      <c r="J1" s="2" t="s">
        <v>166</v>
      </c>
      <c r="K1" s="2" t="s">
        <v>167</v>
      </c>
      <c r="L1" s="2" t="s">
        <v>168</v>
      </c>
      <c r="M1" s="2" t="s">
        <v>169</v>
      </c>
      <c r="N1" s="2" t="s">
        <v>170</v>
      </c>
      <c r="O1" s="2" t="s">
        <v>171</v>
      </c>
      <c r="P1" s="2" t="s">
        <v>172</v>
      </c>
      <c r="Q1" s="2" t="s">
        <v>173</v>
      </c>
    </row>
    <row r="2" ht="15.75" customHeight="1">
      <c r="A2" s="3" t="s">
        <v>9</v>
      </c>
      <c r="B2" s="4">
        <v>0.34424768518518517</v>
      </c>
      <c r="C2" s="4">
        <v>0.20693287037037036</v>
      </c>
      <c r="D2" s="5">
        <v>98.0</v>
      </c>
      <c r="E2" s="6">
        <v>0.6954</v>
      </c>
      <c r="F2" s="6">
        <v>0.557</v>
      </c>
      <c r="G2" s="6">
        <v>0.5785</v>
      </c>
      <c r="H2" s="6">
        <v>1.0E-4</v>
      </c>
      <c r="I2" s="6">
        <v>0.2568</v>
      </c>
      <c r="J2" s="6">
        <v>0.0225</v>
      </c>
      <c r="K2" s="6">
        <v>0.0</v>
      </c>
      <c r="L2" s="6">
        <v>0.1386</v>
      </c>
      <c r="M2" s="6">
        <v>0.0035</v>
      </c>
      <c r="N2" s="5">
        <v>2.0</v>
      </c>
      <c r="O2" s="5">
        <v>3.0</v>
      </c>
      <c r="P2" s="5">
        <v>0.0</v>
      </c>
      <c r="Q2" s="5">
        <v>0.0</v>
      </c>
    </row>
    <row r="3" ht="15.75" customHeight="1">
      <c r="A3" s="3" t="s">
        <v>10</v>
      </c>
      <c r="B3" s="4">
        <v>0.3441666666666667</v>
      </c>
      <c r="C3" s="4">
        <v>0.20733796296296297</v>
      </c>
      <c r="D3" s="5">
        <v>23.0</v>
      </c>
      <c r="E3" s="6">
        <v>0.7013</v>
      </c>
      <c r="F3" s="6">
        <v>0.5803</v>
      </c>
      <c r="G3" s="6">
        <v>0.5863</v>
      </c>
      <c r="H3" s="6">
        <v>0.0</v>
      </c>
      <c r="I3" s="6">
        <v>0.2537</v>
      </c>
      <c r="J3" s="6">
        <v>0.0161</v>
      </c>
      <c r="K3" s="6">
        <v>0.0</v>
      </c>
      <c r="L3" s="6">
        <v>0.1412</v>
      </c>
      <c r="M3" s="6">
        <v>0.0026</v>
      </c>
      <c r="N3" s="5">
        <v>2.0</v>
      </c>
      <c r="O3" s="5">
        <v>1.0</v>
      </c>
      <c r="P3" s="5">
        <v>0.0</v>
      </c>
      <c r="Q3" s="5">
        <v>0.0</v>
      </c>
    </row>
    <row r="4" ht="15.75" customHeight="1">
      <c r="A4" s="3" t="s">
        <v>11</v>
      </c>
      <c r="B4" s="4">
        <v>0.34510416666666666</v>
      </c>
      <c r="C4" s="4">
        <v>0.20109953703703703</v>
      </c>
      <c r="D4" s="5">
        <v>28.0</v>
      </c>
      <c r="E4" s="6">
        <v>0.6777</v>
      </c>
      <c r="F4" s="6">
        <v>0.5171</v>
      </c>
      <c r="G4" s="6">
        <v>0.5404</v>
      </c>
      <c r="H4" s="6">
        <v>0.0197</v>
      </c>
      <c r="I4" s="6">
        <v>0.2645</v>
      </c>
      <c r="J4" s="6">
        <v>0.0227</v>
      </c>
      <c r="K4" s="6">
        <v>0.0</v>
      </c>
      <c r="L4" s="6">
        <v>0.1487</v>
      </c>
      <c r="M4" s="6">
        <v>0.004</v>
      </c>
      <c r="N4" s="5">
        <v>6.0</v>
      </c>
      <c r="O4" s="5">
        <v>3.0</v>
      </c>
      <c r="P4" s="5">
        <v>4.0</v>
      </c>
      <c r="Q4" s="5">
        <v>1.0</v>
      </c>
    </row>
    <row r="5" ht="15.75" customHeight="1">
      <c r="A5" s="3" t="s">
        <v>12</v>
      </c>
      <c r="B5" s="4">
        <v>0.34023148148148147</v>
      </c>
      <c r="C5" s="4">
        <v>0.17884259259259258</v>
      </c>
      <c r="D5" s="5">
        <v>29.0</v>
      </c>
      <c r="E5" s="6">
        <v>0.7207</v>
      </c>
      <c r="F5" s="6">
        <v>0.4772</v>
      </c>
      <c r="G5" s="6">
        <v>0.498</v>
      </c>
      <c r="H5" s="6">
        <v>1.0E-4</v>
      </c>
      <c r="I5" s="6">
        <v>0.1836</v>
      </c>
      <c r="J5" s="6">
        <v>0.0276</v>
      </c>
      <c r="K5" s="6">
        <v>0.0</v>
      </c>
      <c r="L5" s="6">
        <v>0.2838</v>
      </c>
      <c r="M5" s="6">
        <v>0.007</v>
      </c>
      <c r="N5" s="5">
        <v>1.0</v>
      </c>
      <c r="O5" s="5">
        <v>2.0</v>
      </c>
      <c r="P5" s="5">
        <v>0.0</v>
      </c>
      <c r="Q5" s="5">
        <v>0.0</v>
      </c>
    </row>
    <row r="6" ht="15.75" customHeight="1">
      <c r="A6" s="3" t="s">
        <v>13</v>
      </c>
      <c r="B6" s="4">
        <v>0.3060300925925926</v>
      </c>
      <c r="C6" s="4">
        <v>0.1387037037037037</v>
      </c>
      <c r="D6" s="5">
        <v>93.0</v>
      </c>
      <c r="E6" s="6">
        <v>0.7799</v>
      </c>
      <c r="F6" s="6">
        <v>0.4329</v>
      </c>
      <c r="G6" s="6">
        <v>0.435</v>
      </c>
      <c r="H6" s="6">
        <v>4.0E-4</v>
      </c>
      <c r="I6" s="6">
        <v>0.1136</v>
      </c>
      <c r="J6" s="6">
        <v>0.0179</v>
      </c>
      <c r="K6" s="6">
        <v>0.0</v>
      </c>
      <c r="L6" s="6">
        <v>0.4197</v>
      </c>
      <c r="M6" s="6">
        <v>0.0134</v>
      </c>
      <c r="N6" s="5">
        <v>0.0</v>
      </c>
      <c r="O6" s="5">
        <v>4.0</v>
      </c>
      <c r="P6" s="5">
        <v>0.0</v>
      </c>
      <c r="Q6" s="5">
        <v>0.0</v>
      </c>
    </row>
    <row r="7" ht="15.75" customHeight="1">
      <c r="A7" s="3" t="s">
        <v>14</v>
      </c>
      <c r="B7" s="4">
        <v>0.2084375</v>
      </c>
      <c r="C7" s="4">
        <v>0.15369212962962964</v>
      </c>
      <c r="D7" s="5">
        <v>92.0</v>
      </c>
      <c r="E7" s="6">
        <v>0.776</v>
      </c>
      <c r="F7" s="6">
        <v>0.655</v>
      </c>
      <c r="G7" s="6">
        <v>0.6576</v>
      </c>
      <c r="H7" s="6">
        <v>0.0086</v>
      </c>
      <c r="I7" s="6">
        <v>0.1627</v>
      </c>
      <c r="J7" s="6">
        <v>0.0712</v>
      </c>
      <c r="K7" s="6">
        <v>0.0</v>
      </c>
      <c r="L7" s="6">
        <v>0.0903</v>
      </c>
      <c r="M7" s="6">
        <v>0.0096</v>
      </c>
      <c r="N7" s="5">
        <v>2.0</v>
      </c>
      <c r="O7" s="5">
        <v>8.0</v>
      </c>
      <c r="P7" s="5">
        <v>2.0</v>
      </c>
      <c r="Q7" s="5">
        <v>0.0</v>
      </c>
    </row>
    <row r="8" ht="15.75" customHeight="1">
      <c r="A8" s="3" t="s">
        <v>15</v>
      </c>
      <c r="B8" s="4">
        <v>0.34488425925925925</v>
      </c>
      <c r="C8" s="4">
        <v>0.17553240740740741</v>
      </c>
      <c r="D8" s="5">
        <v>26.0</v>
      </c>
      <c r="E8" s="6">
        <v>0.7543</v>
      </c>
      <c r="F8" s="6">
        <v>0.4948</v>
      </c>
      <c r="G8" s="6">
        <v>0.5007</v>
      </c>
      <c r="H8" s="6">
        <v>0.0</v>
      </c>
      <c r="I8" s="6">
        <v>0.1505</v>
      </c>
      <c r="J8" s="6">
        <v>0.0081</v>
      </c>
      <c r="K8" s="6">
        <v>0.0</v>
      </c>
      <c r="L8" s="6">
        <v>0.3256</v>
      </c>
      <c r="M8" s="6">
        <v>0.015</v>
      </c>
      <c r="N8" s="5">
        <v>0.0</v>
      </c>
      <c r="O8" s="5">
        <v>0.0</v>
      </c>
      <c r="P8" s="5">
        <v>0.0</v>
      </c>
      <c r="Q8" s="5">
        <v>0.0</v>
      </c>
    </row>
    <row r="9" ht="15.75" customHeight="1">
      <c r="A9" s="3" t="s">
        <v>16</v>
      </c>
      <c r="B9" s="4">
        <v>0.3864699074074074</v>
      </c>
      <c r="C9" s="4">
        <v>0.24453703703703702</v>
      </c>
      <c r="D9" s="5">
        <v>90.0</v>
      </c>
      <c r="E9" s="6">
        <v>0.7235</v>
      </c>
      <c r="F9" s="6">
        <v>0.5513</v>
      </c>
      <c r="G9" s="6">
        <v>0.5818</v>
      </c>
      <c r="H9" s="6">
        <v>0.0087</v>
      </c>
      <c r="I9" s="6">
        <v>0.2279</v>
      </c>
      <c r="J9" s="6">
        <v>0.0422</v>
      </c>
      <c r="K9" s="6">
        <v>0.0</v>
      </c>
      <c r="L9" s="6">
        <v>0.1315</v>
      </c>
      <c r="M9" s="6">
        <v>0.0078</v>
      </c>
      <c r="N9" s="5">
        <v>0.0</v>
      </c>
      <c r="O9" s="5">
        <v>8.0</v>
      </c>
      <c r="P9" s="5">
        <v>3.0</v>
      </c>
      <c r="Q9" s="5">
        <v>1.0</v>
      </c>
    </row>
    <row r="10" ht="15.75" customHeight="1">
      <c r="A10" s="3" t="s">
        <v>17</v>
      </c>
      <c r="B10" s="4">
        <v>0.3425694444444444</v>
      </c>
      <c r="C10" s="4">
        <v>0.20311342592592593</v>
      </c>
      <c r="D10" s="5">
        <v>89.0</v>
      </c>
      <c r="E10" s="6">
        <v>0.6825</v>
      </c>
      <c r="F10" s="6">
        <v>0.5521</v>
      </c>
      <c r="G10" s="6">
        <v>0.5753</v>
      </c>
      <c r="H10" s="6">
        <v>7.0E-4</v>
      </c>
      <c r="I10" s="6">
        <v>0.2656</v>
      </c>
      <c r="J10" s="6">
        <v>0.0169</v>
      </c>
      <c r="K10" s="6">
        <v>0.0</v>
      </c>
      <c r="L10" s="6">
        <v>0.1351</v>
      </c>
      <c r="M10" s="6">
        <v>0.0064</v>
      </c>
      <c r="N10" s="5">
        <v>4.0</v>
      </c>
      <c r="O10" s="5">
        <v>0.0</v>
      </c>
      <c r="P10" s="5">
        <v>0.0</v>
      </c>
      <c r="Q10" s="5">
        <v>0.0</v>
      </c>
    </row>
    <row r="11" ht="15.75" customHeight="1">
      <c r="A11" s="3" t="s">
        <v>18</v>
      </c>
      <c r="B11" s="4">
        <v>0.34769675925925925</v>
      </c>
      <c r="C11" s="4">
        <v>0.20702546296296295</v>
      </c>
      <c r="D11" s="5">
        <v>54.0</v>
      </c>
      <c r="E11" s="6">
        <v>0.6919</v>
      </c>
      <c r="F11" s="6">
        <v>0.5687</v>
      </c>
      <c r="G11" s="6">
        <v>0.5852</v>
      </c>
      <c r="H11" s="6">
        <v>2.0E-4</v>
      </c>
      <c r="I11" s="6">
        <v>0.2612</v>
      </c>
      <c r="J11" s="6">
        <v>0.0101</v>
      </c>
      <c r="K11" s="6">
        <v>0.0</v>
      </c>
      <c r="L11" s="6">
        <v>0.1397</v>
      </c>
      <c r="M11" s="6">
        <v>0.0037</v>
      </c>
      <c r="N11" s="5">
        <v>2.0</v>
      </c>
      <c r="O11" s="5">
        <v>0.0</v>
      </c>
      <c r="P11" s="5">
        <v>0.0</v>
      </c>
      <c r="Q11" s="5">
        <v>0.0</v>
      </c>
    </row>
    <row r="12" ht="15.75" customHeight="1">
      <c r="A12" s="3" t="s">
        <v>19</v>
      </c>
      <c r="B12" s="4">
        <v>0.34068287037037037</v>
      </c>
      <c r="C12" s="4">
        <v>0.2051851851851852</v>
      </c>
      <c r="D12" s="5">
        <v>87.0</v>
      </c>
      <c r="E12" s="6">
        <v>0.701</v>
      </c>
      <c r="F12" s="6">
        <v>0.5604</v>
      </c>
      <c r="G12" s="6">
        <v>0.569</v>
      </c>
      <c r="H12" s="6">
        <v>0.0107</v>
      </c>
      <c r="I12" s="6">
        <v>0.2499</v>
      </c>
      <c r="J12" s="6">
        <v>0.0226</v>
      </c>
      <c r="K12" s="6">
        <v>0.0</v>
      </c>
      <c r="L12" s="6">
        <v>0.1412</v>
      </c>
      <c r="M12" s="6">
        <v>0.0067</v>
      </c>
      <c r="N12" s="5">
        <v>2.0</v>
      </c>
      <c r="O12" s="5">
        <v>3.0</v>
      </c>
      <c r="P12" s="5">
        <v>3.0</v>
      </c>
      <c r="Q12" s="5">
        <v>0.0</v>
      </c>
    </row>
    <row r="13" ht="15.75" customHeight="1">
      <c r="A13" s="3" t="s">
        <v>20</v>
      </c>
      <c r="B13" s="4">
        <v>0.33622685185185186</v>
      </c>
      <c r="C13" s="4">
        <v>0.158125</v>
      </c>
      <c r="D13" s="5">
        <v>65.0</v>
      </c>
      <c r="E13" s="6">
        <v>0.7124</v>
      </c>
      <c r="F13" s="6">
        <v>0.4155</v>
      </c>
      <c r="G13" s="6">
        <v>0.4258</v>
      </c>
      <c r="H13" s="6">
        <v>0.0</v>
      </c>
      <c r="I13" s="6">
        <v>0.1462</v>
      </c>
      <c r="J13" s="6">
        <v>0.0445</v>
      </c>
      <c r="K13" s="6">
        <v>0.0</v>
      </c>
      <c r="L13" s="6">
        <v>0.3745</v>
      </c>
      <c r="M13" s="6">
        <v>0.0091</v>
      </c>
      <c r="N13" s="5">
        <v>0.0</v>
      </c>
      <c r="O13" s="5">
        <v>8.0</v>
      </c>
      <c r="P13" s="5">
        <v>0.0</v>
      </c>
      <c r="Q13" s="5">
        <v>0.0</v>
      </c>
    </row>
    <row r="14" ht="15.75" customHeight="1">
      <c r="A14" s="3" t="s">
        <v>21</v>
      </c>
      <c r="B14" s="4">
        <v>0.34349537037037037</v>
      </c>
      <c r="C14" s="4">
        <v>0.19699074074074074</v>
      </c>
      <c r="D14" s="5">
        <v>85.0</v>
      </c>
      <c r="E14" s="6">
        <v>0.7696</v>
      </c>
      <c r="F14" s="6">
        <v>0.5003</v>
      </c>
      <c r="G14" s="6">
        <v>0.5163</v>
      </c>
      <c r="H14" s="6">
        <v>1.0E-4</v>
      </c>
      <c r="I14" s="6">
        <v>0.1663</v>
      </c>
      <c r="J14" s="6">
        <v>0.0571</v>
      </c>
      <c r="K14" s="6">
        <v>0.0</v>
      </c>
      <c r="L14" s="6">
        <v>0.2561</v>
      </c>
      <c r="M14" s="6">
        <v>0.0041</v>
      </c>
      <c r="N14" s="5">
        <v>1.0</v>
      </c>
      <c r="O14" s="5">
        <v>9.0</v>
      </c>
      <c r="P14" s="5">
        <v>0.0</v>
      </c>
      <c r="Q14" s="5">
        <v>0.0</v>
      </c>
    </row>
    <row r="15" ht="15.75" customHeight="1">
      <c r="A15" s="3" t="s">
        <v>22</v>
      </c>
      <c r="B15" s="4">
        <v>0.3332175925925926</v>
      </c>
      <c r="C15" s="4">
        <v>0.19475694444444444</v>
      </c>
      <c r="D15" s="5">
        <v>65.0</v>
      </c>
      <c r="E15" s="6">
        <v>0.6847</v>
      </c>
      <c r="F15" s="6">
        <v>0.514</v>
      </c>
      <c r="G15" s="6">
        <v>0.5314</v>
      </c>
      <c r="H15" s="6">
        <v>0.0088</v>
      </c>
      <c r="I15" s="6">
        <v>0.2623</v>
      </c>
      <c r="J15" s="6">
        <v>0.0443</v>
      </c>
      <c r="K15" s="6">
        <v>0.0</v>
      </c>
      <c r="L15" s="6">
        <v>0.1471</v>
      </c>
      <c r="M15" s="6">
        <v>0.0061</v>
      </c>
      <c r="N15" s="5">
        <v>1.0</v>
      </c>
      <c r="O15" s="5">
        <v>8.0</v>
      </c>
      <c r="P15" s="5">
        <v>3.0</v>
      </c>
      <c r="Q15" s="5">
        <v>1.0</v>
      </c>
    </row>
    <row r="16" ht="15.75" customHeight="1">
      <c r="A16" s="3" t="s">
        <v>23</v>
      </c>
      <c r="B16" s="4">
        <v>0.3451273148148148</v>
      </c>
      <c r="C16" s="4">
        <v>0.2066550925925926</v>
      </c>
      <c r="D16" s="5">
        <v>83.0</v>
      </c>
      <c r="E16" s="6">
        <v>0.6928</v>
      </c>
      <c r="F16" s="6">
        <v>0.5106</v>
      </c>
      <c r="G16" s="6">
        <v>0.539</v>
      </c>
      <c r="H16" s="6">
        <v>0.0281</v>
      </c>
      <c r="I16" s="6">
        <v>0.2367</v>
      </c>
      <c r="J16" s="6">
        <v>0.0318</v>
      </c>
      <c r="K16" s="6">
        <v>0.0</v>
      </c>
      <c r="L16" s="6">
        <v>0.1549</v>
      </c>
      <c r="M16" s="6">
        <v>0.0096</v>
      </c>
      <c r="N16" s="5">
        <v>2.0</v>
      </c>
      <c r="O16" s="5">
        <v>4.0</v>
      </c>
      <c r="P16" s="5">
        <v>7.0</v>
      </c>
      <c r="Q16" s="5">
        <v>0.0</v>
      </c>
    </row>
    <row r="17" ht="15.75" customHeight="1">
      <c r="A17" s="3" t="s">
        <v>24</v>
      </c>
      <c r="B17" s="4">
        <v>0.3453125</v>
      </c>
      <c r="C17" s="4">
        <v>0.17390046296296297</v>
      </c>
      <c r="D17" s="5">
        <v>82.0</v>
      </c>
      <c r="E17" s="6">
        <v>0.708</v>
      </c>
      <c r="F17" s="6">
        <v>0.4829</v>
      </c>
      <c r="G17" s="6">
        <v>0.4854</v>
      </c>
      <c r="H17" s="6">
        <v>2.0E-4</v>
      </c>
      <c r="I17" s="6">
        <v>0.2033</v>
      </c>
      <c r="J17" s="6">
        <v>0.018</v>
      </c>
      <c r="K17" s="6">
        <v>0.0</v>
      </c>
      <c r="L17" s="6">
        <v>0.2903</v>
      </c>
      <c r="M17" s="6">
        <v>0.0029</v>
      </c>
      <c r="N17" s="5">
        <v>2.0</v>
      </c>
      <c r="O17" s="5">
        <v>1.0</v>
      </c>
      <c r="P17" s="5">
        <v>0.0</v>
      </c>
      <c r="Q17" s="5">
        <v>0.0</v>
      </c>
    </row>
    <row r="18" ht="15.75" customHeight="1">
      <c r="A18" s="3" t="s">
        <v>25</v>
      </c>
      <c r="B18" s="4">
        <v>0.3284837962962963</v>
      </c>
      <c r="C18" s="4">
        <v>0.1973611111111111</v>
      </c>
      <c r="D18" s="5">
        <v>81.0</v>
      </c>
      <c r="E18" s="6">
        <v>0.6754</v>
      </c>
      <c r="F18" s="6">
        <v>0.5736</v>
      </c>
      <c r="G18" s="6">
        <v>0.5861</v>
      </c>
      <c r="H18" s="6">
        <v>0.0</v>
      </c>
      <c r="I18" s="6">
        <v>0.2737</v>
      </c>
      <c r="J18" s="6">
        <v>0.0147</v>
      </c>
      <c r="K18" s="6">
        <v>0.0</v>
      </c>
      <c r="L18" s="6">
        <v>0.1194</v>
      </c>
      <c r="M18" s="6">
        <v>0.006</v>
      </c>
      <c r="N18" s="5">
        <v>1.0</v>
      </c>
      <c r="O18" s="5">
        <v>1.0</v>
      </c>
      <c r="P18" s="5">
        <v>0.0</v>
      </c>
      <c r="Q18" s="5">
        <v>1.0</v>
      </c>
    </row>
    <row r="19" ht="15.75" customHeight="1">
      <c r="A19" s="3" t="s">
        <v>26</v>
      </c>
      <c r="B19" s="4">
        <v>0.3449421296296296</v>
      </c>
      <c r="C19" s="4">
        <v>0.20702546296296295</v>
      </c>
      <c r="D19" s="5">
        <v>80.0</v>
      </c>
      <c r="E19" s="6">
        <v>0.6985</v>
      </c>
      <c r="F19" s="6">
        <v>0.5643</v>
      </c>
      <c r="G19" s="6">
        <v>0.5916</v>
      </c>
      <c r="H19" s="6">
        <v>0.0</v>
      </c>
      <c r="I19" s="6">
        <v>0.2548</v>
      </c>
      <c r="J19" s="6">
        <v>0.0086</v>
      </c>
      <c r="K19" s="6">
        <v>0.0</v>
      </c>
      <c r="L19" s="6">
        <v>0.1412</v>
      </c>
      <c r="M19" s="6">
        <v>0.0039</v>
      </c>
      <c r="N19" s="5">
        <v>2.0</v>
      </c>
      <c r="O19" s="5">
        <v>0.0</v>
      </c>
      <c r="P19" s="5">
        <v>0.0</v>
      </c>
      <c r="Q19" s="5">
        <v>0.0</v>
      </c>
    </row>
    <row r="20" ht="15.75" customHeight="1">
      <c r="A20" s="3" t="s">
        <v>27</v>
      </c>
      <c r="B20" s="4">
        <v>0.34810185185185183</v>
      </c>
      <c r="C20" s="4">
        <v>0.1826736111111111</v>
      </c>
      <c r="D20" s="5">
        <v>79.0</v>
      </c>
      <c r="E20" s="6">
        <v>0.7655</v>
      </c>
      <c r="F20" s="6">
        <v>0.4697</v>
      </c>
      <c r="G20" s="6">
        <v>0.4786</v>
      </c>
      <c r="H20" s="6">
        <v>0.0214</v>
      </c>
      <c r="I20" s="6">
        <v>0.1494</v>
      </c>
      <c r="J20" s="6">
        <v>0.0248</v>
      </c>
      <c r="K20" s="6">
        <v>0.0</v>
      </c>
      <c r="L20" s="6">
        <v>0.3195</v>
      </c>
      <c r="M20" s="6">
        <v>0.0063</v>
      </c>
      <c r="N20" s="5">
        <v>6.0</v>
      </c>
      <c r="O20" s="5">
        <v>5.0</v>
      </c>
      <c r="P20" s="5">
        <v>3.0</v>
      </c>
      <c r="Q20" s="5">
        <v>0.0</v>
      </c>
    </row>
    <row r="21" ht="15.75" customHeight="1">
      <c r="A21" s="3" t="s">
        <v>28</v>
      </c>
      <c r="B21" s="4">
        <v>0.34574074074074074</v>
      </c>
      <c r="C21" s="4">
        <v>0.20710648148148147</v>
      </c>
      <c r="D21" s="5">
        <v>78.0</v>
      </c>
      <c r="E21" s="6">
        <v>0.6986</v>
      </c>
      <c r="F21" s="6">
        <v>0.575</v>
      </c>
      <c r="G21" s="6">
        <v>0.5821</v>
      </c>
      <c r="H21" s="6">
        <v>0.0038</v>
      </c>
      <c r="I21" s="6">
        <v>0.2477</v>
      </c>
      <c r="J21" s="6">
        <v>0.0131</v>
      </c>
      <c r="K21" s="6">
        <v>0.0</v>
      </c>
      <c r="L21" s="6">
        <v>0.1496</v>
      </c>
      <c r="M21" s="6">
        <v>0.0036</v>
      </c>
      <c r="N21" s="5">
        <v>4.0</v>
      </c>
      <c r="O21" s="5">
        <v>1.0</v>
      </c>
      <c r="P21" s="5">
        <v>1.0</v>
      </c>
      <c r="Q21" s="5">
        <v>0.0</v>
      </c>
    </row>
    <row r="22" ht="15.75" customHeight="1">
      <c r="A22" s="3" t="s">
        <v>29</v>
      </c>
      <c r="B22" s="4">
        <v>0.34283564814814815</v>
      </c>
      <c r="C22" s="4">
        <v>0.2039351851851852</v>
      </c>
      <c r="D22" s="5">
        <v>77.0</v>
      </c>
      <c r="E22" s="6">
        <v>0.6875</v>
      </c>
      <c r="F22" s="6">
        <v>0.5795</v>
      </c>
      <c r="G22" s="6">
        <v>0.5862</v>
      </c>
      <c r="H22" s="6">
        <v>1.0E-4</v>
      </c>
      <c r="I22" s="6">
        <v>0.2559</v>
      </c>
      <c r="J22" s="6">
        <v>0.0085</v>
      </c>
      <c r="K22" s="6">
        <v>0.0</v>
      </c>
      <c r="L22" s="6">
        <v>0.1357</v>
      </c>
      <c r="M22" s="6">
        <v>0.0136</v>
      </c>
      <c r="N22" s="5">
        <v>2.0</v>
      </c>
      <c r="O22" s="5">
        <v>0.0</v>
      </c>
      <c r="P22" s="5">
        <v>0.0</v>
      </c>
      <c r="Q22" s="5">
        <v>0.0</v>
      </c>
    </row>
    <row r="23" ht="15.75" customHeight="1">
      <c r="A23" s="3" t="s">
        <v>30</v>
      </c>
      <c r="B23" s="4">
        <v>0.3455324074074074</v>
      </c>
      <c r="C23" s="4">
        <v>0.2082175925925926</v>
      </c>
      <c r="D23" s="5">
        <v>76.0</v>
      </c>
      <c r="E23" s="6">
        <v>0.6991</v>
      </c>
      <c r="F23" s="6">
        <v>0.5883</v>
      </c>
      <c r="G23" s="6">
        <v>0.5899</v>
      </c>
      <c r="H23" s="6">
        <v>1.0E-4</v>
      </c>
      <c r="I23" s="6">
        <v>0.2547</v>
      </c>
      <c r="J23" s="6">
        <v>0.0126</v>
      </c>
      <c r="K23" s="6">
        <v>0.0</v>
      </c>
      <c r="L23" s="6">
        <v>0.1402</v>
      </c>
      <c r="M23" s="6">
        <v>0.0025</v>
      </c>
      <c r="N23" s="5">
        <v>3.0</v>
      </c>
      <c r="O23" s="5">
        <v>1.0</v>
      </c>
      <c r="P23" s="5">
        <v>0.0</v>
      </c>
      <c r="Q23" s="5">
        <v>0.0</v>
      </c>
    </row>
    <row r="24" ht="15.75" customHeight="1">
      <c r="A24" s="3" t="s">
        <v>31</v>
      </c>
      <c r="B24" s="4">
        <v>0.3206481481481481</v>
      </c>
      <c r="C24" s="4">
        <v>0.17288194444444444</v>
      </c>
      <c r="D24" s="5">
        <v>75.0</v>
      </c>
      <c r="E24" s="6">
        <v>0.7489</v>
      </c>
      <c r="F24" s="6">
        <v>0.4627</v>
      </c>
      <c r="G24" s="6">
        <v>0.4653</v>
      </c>
      <c r="H24" s="6">
        <v>0.0044</v>
      </c>
      <c r="I24" s="6">
        <v>0.1762</v>
      </c>
      <c r="J24" s="6">
        <v>0.0694</v>
      </c>
      <c r="K24" s="6">
        <v>0.0</v>
      </c>
      <c r="L24" s="6">
        <v>0.2822</v>
      </c>
      <c r="M24" s="6">
        <v>0.0024</v>
      </c>
      <c r="N24" s="5">
        <v>1.0</v>
      </c>
      <c r="O24" s="5">
        <v>7.0</v>
      </c>
      <c r="P24" s="5">
        <v>1.0</v>
      </c>
      <c r="Q24" s="5">
        <v>0.0</v>
      </c>
    </row>
    <row r="25" ht="15.75" customHeight="1">
      <c r="A25" s="3" t="s">
        <v>32</v>
      </c>
      <c r="B25" s="4">
        <v>0.34032407407407406</v>
      </c>
      <c r="C25" s="4">
        <v>0.17644675925925926</v>
      </c>
      <c r="D25" s="5">
        <v>74.0</v>
      </c>
      <c r="E25" s="6">
        <v>0.7078</v>
      </c>
      <c r="F25" s="6">
        <v>0.478</v>
      </c>
      <c r="G25" s="6">
        <v>0.4966</v>
      </c>
      <c r="H25" s="6">
        <v>0.0012</v>
      </c>
      <c r="I25" s="6">
        <v>0.21</v>
      </c>
      <c r="J25" s="6">
        <v>0.0207</v>
      </c>
      <c r="K25" s="6">
        <v>0.0</v>
      </c>
      <c r="L25" s="6">
        <v>0.2679</v>
      </c>
      <c r="M25" s="6">
        <v>0.0036</v>
      </c>
      <c r="N25" s="5">
        <v>1.0</v>
      </c>
      <c r="O25" s="5">
        <v>2.0</v>
      </c>
      <c r="P25" s="5">
        <v>0.0</v>
      </c>
      <c r="Q25" s="5">
        <v>1.0</v>
      </c>
    </row>
    <row r="26" ht="15.75" customHeight="1">
      <c r="A26" s="3" t="s">
        <v>33</v>
      </c>
      <c r="B26" s="4">
        <v>0.34328703703703706</v>
      </c>
      <c r="C26" s="4">
        <v>0.22703703703703704</v>
      </c>
      <c r="D26" s="5">
        <v>73.0</v>
      </c>
      <c r="E26" s="6">
        <v>0.763</v>
      </c>
      <c r="F26" s="6">
        <v>0.5998</v>
      </c>
      <c r="G26" s="6">
        <v>0.6018</v>
      </c>
      <c r="H26" s="6">
        <v>0.0149</v>
      </c>
      <c r="I26" s="6">
        <v>0.1711</v>
      </c>
      <c r="J26" s="6">
        <v>0.0446</v>
      </c>
      <c r="K26" s="6">
        <v>0.0</v>
      </c>
      <c r="L26" s="6">
        <v>0.1475</v>
      </c>
      <c r="M26" s="6">
        <v>0.0201</v>
      </c>
      <c r="N26" s="5">
        <v>1.0</v>
      </c>
      <c r="O26" s="5">
        <v>4.0</v>
      </c>
      <c r="P26" s="5">
        <v>1.0</v>
      </c>
      <c r="Q26" s="5">
        <v>1.0</v>
      </c>
    </row>
    <row r="27" ht="15.75" customHeight="1">
      <c r="A27" s="3" t="s">
        <v>34</v>
      </c>
      <c r="B27" s="4">
        <v>0.3166319444444444</v>
      </c>
      <c r="C27" s="4">
        <v>0.21199074074074073</v>
      </c>
      <c r="D27" s="5">
        <v>72.0</v>
      </c>
      <c r="E27" s="6">
        <v>0.7147</v>
      </c>
      <c r="F27" s="6">
        <v>0.6503</v>
      </c>
      <c r="G27" s="6">
        <v>0.651</v>
      </c>
      <c r="H27" s="6">
        <v>0.0</v>
      </c>
      <c r="I27" s="6">
        <v>0.2579</v>
      </c>
      <c r="J27" s="6">
        <v>0.0185</v>
      </c>
      <c r="K27" s="6">
        <v>0.0</v>
      </c>
      <c r="L27" s="6">
        <v>0.0669</v>
      </c>
      <c r="M27" s="6">
        <v>0.0057</v>
      </c>
      <c r="N27" s="5">
        <v>1.0</v>
      </c>
      <c r="O27" s="5">
        <v>3.0</v>
      </c>
      <c r="P27" s="5">
        <v>0.0</v>
      </c>
      <c r="Q27" s="5">
        <v>0.0</v>
      </c>
    </row>
    <row r="28" ht="15.75" customHeight="1">
      <c r="A28" s="3" t="s">
        <v>35</v>
      </c>
      <c r="B28" s="4">
        <v>0.3451273148148148</v>
      </c>
      <c r="C28" s="4">
        <v>0.20607638888888888</v>
      </c>
      <c r="D28" s="5">
        <v>71.0</v>
      </c>
      <c r="E28" s="6">
        <v>0.6947</v>
      </c>
      <c r="F28" s="6">
        <v>0.55</v>
      </c>
      <c r="G28" s="6">
        <v>0.5744</v>
      </c>
      <c r="H28" s="6">
        <v>0.0123</v>
      </c>
      <c r="I28" s="6">
        <v>0.2528</v>
      </c>
      <c r="J28" s="6">
        <v>0.0104</v>
      </c>
      <c r="K28" s="6">
        <v>0.0</v>
      </c>
      <c r="L28" s="6">
        <v>0.1442</v>
      </c>
      <c r="M28" s="6">
        <v>0.0059</v>
      </c>
      <c r="N28" s="5">
        <v>1.0</v>
      </c>
      <c r="O28" s="5">
        <v>0.0</v>
      </c>
      <c r="P28" s="5">
        <v>5.0</v>
      </c>
      <c r="Q28" s="5">
        <v>0.0</v>
      </c>
    </row>
    <row r="29" ht="15.75" customHeight="1">
      <c r="A29" s="3" t="s">
        <v>36</v>
      </c>
      <c r="B29" s="4">
        <v>0.34297453703703706</v>
      </c>
      <c r="C29" s="4">
        <v>0.2127314814814815</v>
      </c>
      <c r="D29" s="5">
        <v>70.0</v>
      </c>
      <c r="E29" s="6">
        <v>0.7221</v>
      </c>
      <c r="F29" s="6">
        <v>0.5133</v>
      </c>
      <c r="G29" s="6">
        <v>0.5439</v>
      </c>
      <c r="H29" s="6">
        <v>0.0079</v>
      </c>
      <c r="I29" s="6">
        <v>0.232</v>
      </c>
      <c r="J29" s="6">
        <v>0.0684</v>
      </c>
      <c r="K29" s="6">
        <v>0.0</v>
      </c>
      <c r="L29" s="6">
        <v>0.1418</v>
      </c>
      <c r="M29" s="6">
        <v>0.0059</v>
      </c>
      <c r="N29" s="5">
        <v>0.0</v>
      </c>
      <c r="O29" s="5">
        <v>11.0</v>
      </c>
      <c r="P29" s="5">
        <v>1.0</v>
      </c>
      <c r="Q29" s="5">
        <v>1.0</v>
      </c>
    </row>
    <row r="30" ht="15.75" customHeight="1">
      <c r="A30" s="3" t="s">
        <v>37</v>
      </c>
      <c r="B30" s="4">
        <v>0.3438773148148148</v>
      </c>
      <c r="C30" s="4">
        <v>0.17480324074074075</v>
      </c>
      <c r="D30" s="5">
        <v>69.0</v>
      </c>
      <c r="E30" s="6">
        <v>0.761</v>
      </c>
      <c r="F30" s="6">
        <v>0.436</v>
      </c>
      <c r="G30" s="6">
        <v>0.4498</v>
      </c>
      <c r="H30" s="6">
        <v>0.0043</v>
      </c>
      <c r="I30" s="6">
        <v>0.1568</v>
      </c>
      <c r="J30" s="6">
        <v>0.0542</v>
      </c>
      <c r="K30" s="6">
        <v>0.0</v>
      </c>
      <c r="L30" s="6">
        <v>0.3329</v>
      </c>
      <c r="M30" s="6">
        <v>0.0019</v>
      </c>
      <c r="N30" s="5">
        <v>1.0</v>
      </c>
      <c r="O30" s="5">
        <v>11.0</v>
      </c>
      <c r="P30" s="5">
        <v>2.0</v>
      </c>
      <c r="Q30" s="5">
        <v>0.0</v>
      </c>
    </row>
    <row r="31" ht="15.75" customHeight="1">
      <c r="A31" s="3" t="s">
        <v>38</v>
      </c>
      <c r="B31" s="4">
        <v>0.31069444444444444</v>
      </c>
      <c r="C31" s="4">
        <v>0.1912962962962963</v>
      </c>
      <c r="D31" s="5">
        <v>68.0</v>
      </c>
      <c r="E31" s="6">
        <v>0.7036</v>
      </c>
      <c r="F31" s="6">
        <v>0.5295</v>
      </c>
      <c r="G31" s="6">
        <v>0.5412</v>
      </c>
      <c r="H31" s="6">
        <v>0.0181</v>
      </c>
      <c r="I31" s="6">
        <v>0.1987</v>
      </c>
      <c r="J31" s="6">
        <v>0.0564</v>
      </c>
      <c r="K31" s="6">
        <v>0.0</v>
      </c>
      <c r="L31" s="6">
        <v>0.1796</v>
      </c>
      <c r="M31" s="6">
        <v>0.006</v>
      </c>
      <c r="N31" s="5">
        <v>5.0</v>
      </c>
      <c r="O31" s="5">
        <v>5.0</v>
      </c>
      <c r="P31" s="5">
        <v>3.0</v>
      </c>
      <c r="Q31" s="5">
        <v>1.0</v>
      </c>
    </row>
    <row r="32" ht="15.75" customHeight="1">
      <c r="A32" s="3" t="s">
        <v>39</v>
      </c>
      <c r="B32" s="4">
        <v>0.3332986111111111</v>
      </c>
      <c r="C32" s="4">
        <v>0.21824074074074074</v>
      </c>
      <c r="D32" s="5">
        <v>67.0</v>
      </c>
      <c r="E32" s="6">
        <v>0.7649</v>
      </c>
      <c r="F32" s="6">
        <v>0.5645</v>
      </c>
      <c r="G32" s="6">
        <v>0.5866</v>
      </c>
      <c r="H32" s="6">
        <v>0.0036</v>
      </c>
      <c r="I32" s="6">
        <v>0.1892</v>
      </c>
      <c r="J32" s="6">
        <v>0.0646</v>
      </c>
      <c r="K32" s="6">
        <v>0.0</v>
      </c>
      <c r="L32" s="6">
        <v>0.1443</v>
      </c>
      <c r="M32" s="6">
        <v>0.0117</v>
      </c>
      <c r="N32" s="5">
        <v>0.0</v>
      </c>
      <c r="O32" s="5">
        <v>9.0</v>
      </c>
      <c r="P32" s="5">
        <v>1.0</v>
      </c>
      <c r="Q32" s="5">
        <v>1.0</v>
      </c>
    </row>
    <row r="33" ht="15.75" customHeight="1">
      <c r="A33" s="3" t="s">
        <v>40</v>
      </c>
      <c r="B33" s="4">
        <v>0.34564814814814815</v>
      </c>
      <c r="C33" s="4">
        <v>0.21184027777777778</v>
      </c>
      <c r="D33" s="5">
        <v>66.0</v>
      </c>
      <c r="E33" s="6">
        <v>0.8269</v>
      </c>
      <c r="F33" s="6">
        <v>0.4979</v>
      </c>
      <c r="G33" s="6">
        <v>0.5136</v>
      </c>
      <c r="H33" s="6">
        <v>0.0033</v>
      </c>
      <c r="I33" s="6">
        <v>0.1237</v>
      </c>
      <c r="J33" s="6">
        <v>0.096</v>
      </c>
      <c r="K33" s="6">
        <v>0.0</v>
      </c>
      <c r="L33" s="6">
        <v>0.2596</v>
      </c>
      <c r="M33" s="6">
        <v>0.0038</v>
      </c>
      <c r="N33" s="5">
        <v>1.0</v>
      </c>
      <c r="O33" s="5">
        <v>15.0</v>
      </c>
      <c r="P33" s="5">
        <v>1.0</v>
      </c>
      <c r="Q33" s="5">
        <v>0.0</v>
      </c>
    </row>
    <row r="34" ht="15.75" customHeight="1">
      <c r="A34" s="3" t="s">
        <v>41</v>
      </c>
      <c r="B34" s="4">
        <v>0.34664351851851855</v>
      </c>
      <c r="C34" s="4">
        <v>0.2078125</v>
      </c>
      <c r="D34" s="5">
        <v>65.0</v>
      </c>
      <c r="E34" s="6">
        <v>0.6953</v>
      </c>
      <c r="F34" s="6">
        <v>0.5627</v>
      </c>
      <c r="G34" s="6">
        <v>0.5762</v>
      </c>
      <c r="H34" s="6">
        <v>0.0014</v>
      </c>
      <c r="I34" s="6">
        <v>0.2397</v>
      </c>
      <c r="J34" s="6">
        <v>0.0219</v>
      </c>
      <c r="K34" s="6">
        <v>0.0</v>
      </c>
      <c r="L34" s="6">
        <v>0.1383</v>
      </c>
      <c r="M34" s="6">
        <v>0.0225</v>
      </c>
      <c r="N34" s="5">
        <v>2.0</v>
      </c>
      <c r="O34" s="5">
        <v>1.0</v>
      </c>
      <c r="P34" s="5">
        <v>0.0</v>
      </c>
      <c r="Q34" s="5">
        <v>0.0</v>
      </c>
    </row>
    <row r="35" ht="15.75" customHeight="1">
      <c r="A35" s="3" t="s">
        <v>42</v>
      </c>
      <c r="B35" s="4">
        <v>0.34471064814814817</v>
      </c>
      <c r="C35" s="4">
        <v>0.20981481481481482</v>
      </c>
      <c r="D35" s="5">
        <v>64.0</v>
      </c>
      <c r="E35" s="6">
        <v>0.7057</v>
      </c>
      <c r="F35" s="6">
        <v>0.5768</v>
      </c>
      <c r="G35" s="6">
        <v>0.586</v>
      </c>
      <c r="H35" s="6">
        <v>1.0E-4</v>
      </c>
      <c r="I35" s="6">
        <v>0.2457</v>
      </c>
      <c r="J35" s="6">
        <v>0.0226</v>
      </c>
      <c r="K35" s="6">
        <v>0.0</v>
      </c>
      <c r="L35" s="6">
        <v>0.1409</v>
      </c>
      <c r="M35" s="6">
        <v>0.0047</v>
      </c>
      <c r="N35" s="5">
        <v>2.0</v>
      </c>
      <c r="O35" s="5">
        <v>2.0</v>
      </c>
      <c r="P35" s="5">
        <v>0.0</v>
      </c>
      <c r="Q35" s="5">
        <v>0.0</v>
      </c>
    </row>
    <row r="36" ht="15.75" customHeight="1">
      <c r="A36" s="3" t="s">
        <v>43</v>
      </c>
      <c r="B36" s="4">
        <v>0.3192361111111111</v>
      </c>
      <c r="C36" s="4">
        <v>0.18953703703703703</v>
      </c>
      <c r="D36" s="5">
        <v>63.0</v>
      </c>
      <c r="E36" s="6">
        <v>0.7288</v>
      </c>
      <c r="F36" s="6">
        <v>0.5573</v>
      </c>
      <c r="G36" s="6">
        <v>0.5776</v>
      </c>
      <c r="H36" s="6">
        <v>7.0E-4</v>
      </c>
      <c r="I36" s="6">
        <v>0.2038</v>
      </c>
      <c r="J36" s="6">
        <v>0.0154</v>
      </c>
      <c r="K36" s="6">
        <v>0.0</v>
      </c>
      <c r="L36" s="6">
        <v>0.1918</v>
      </c>
      <c r="M36" s="6">
        <v>0.0107</v>
      </c>
      <c r="N36" s="5">
        <v>2.0</v>
      </c>
      <c r="O36" s="5">
        <v>1.0</v>
      </c>
      <c r="P36" s="5">
        <v>0.0</v>
      </c>
      <c r="Q36" s="5">
        <v>0.0</v>
      </c>
    </row>
    <row r="37" ht="15.75" customHeight="1">
      <c r="A37" s="3" t="s">
        <v>44</v>
      </c>
      <c r="B37" s="4">
        <v>0.3412847222222222</v>
      </c>
      <c r="C37" s="4">
        <v>0.17200231481481482</v>
      </c>
      <c r="D37" s="5">
        <v>62.0</v>
      </c>
      <c r="E37" s="6">
        <v>0.7357</v>
      </c>
      <c r="F37" s="6">
        <v>0.4759</v>
      </c>
      <c r="G37" s="6">
        <v>0.4897</v>
      </c>
      <c r="H37" s="6">
        <v>6.0E-4</v>
      </c>
      <c r="I37" s="6">
        <v>0.176</v>
      </c>
      <c r="J37" s="6">
        <v>0.0137</v>
      </c>
      <c r="K37" s="6">
        <v>0.0</v>
      </c>
      <c r="L37" s="6">
        <v>0.3158</v>
      </c>
      <c r="M37" s="6">
        <v>0.0042</v>
      </c>
      <c r="N37" s="5">
        <v>1.0</v>
      </c>
      <c r="O37" s="5">
        <v>1.0</v>
      </c>
      <c r="P37" s="5">
        <v>0.0</v>
      </c>
      <c r="Q37" s="5">
        <v>0.0</v>
      </c>
    </row>
    <row r="38" ht="15.75" customHeight="1">
      <c r="A38" s="3" t="s">
        <v>45</v>
      </c>
      <c r="B38" s="4">
        <v>0.34012731481481484</v>
      </c>
      <c r="C38" s="4">
        <v>0.20243055555555556</v>
      </c>
      <c r="D38" s="5">
        <v>61.0</v>
      </c>
      <c r="E38" s="6">
        <v>0.6934</v>
      </c>
      <c r="F38" s="6">
        <v>0.5564</v>
      </c>
      <c r="G38" s="6">
        <v>0.571</v>
      </c>
      <c r="H38" s="6">
        <v>0.0</v>
      </c>
      <c r="I38" s="6">
        <v>0.2592</v>
      </c>
      <c r="J38" s="6">
        <v>0.0241</v>
      </c>
      <c r="K38" s="6">
        <v>0.0</v>
      </c>
      <c r="L38" s="6">
        <v>0.1421</v>
      </c>
      <c r="M38" s="6">
        <v>0.0035</v>
      </c>
      <c r="N38" s="5">
        <v>2.0</v>
      </c>
      <c r="O38" s="5">
        <v>3.0</v>
      </c>
      <c r="P38" s="5">
        <v>0.0</v>
      </c>
      <c r="Q38" s="5">
        <v>0.0</v>
      </c>
    </row>
    <row r="39" ht="15.75" customHeight="1">
      <c r="A39" s="3" t="s">
        <v>46</v>
      </c>
      <c r="B39" s="4">
        <v>0.3442824074074074</v>
      </c>
      <c r="C39" s="4">
        <v>0.20569444444444446</v>
      </c>
      <c r="D39" s="5">
        <v>60.0</v>
      </c>
      <c r="E39" s="6">
        <v>0.6953</v>
      </c>
      <c r="F39" s="6">
        <v>0.528</v>
      </c>
      <c r="G39" s="6">
        <v>0.5434</v>
      </c>
      <c r="H39" s="6">
        <v>0.0035</v>
      </c>
      <c r="I39" s="6">
        <v>0.2567</v>
      </c>
      <c r="J39" s="6">
        <v>0.0505</v>
      </c>
      <c r="K39" s="6">
        <v>0.0</v>
      </c>
      <c r="L39" s="6">
        <v>0.1427</v>
      </c>
      <c r="M39" s="6">
        <v>0.0032</v>
      </c>
      <c r="N39" s="5">
        <v>1.0</v>
      </c>
      <c r="O39" s="5">
        <v>11.0</v>
      </c>
      <c r="P39" s="5">
        <v>1.0</v>
      </c>
      <c r="Q39" s="5">
        <v>0.0</v>
      </c>
    </row>
    <row r="40" ht="15.75" customHeight="1">
      <c r="A40" s="3" t="s">
        <v>47</v>
      </c>
      <c r="B40" s="4">
        <v>0.3439699074074074</v>
      </c>
      <c r="C40" s="4">
        <v>0.2062037037037037</v>
      </c>
      <c r="D40" s="5">
        <v>59.0</v>
      </c>
      <c r="E40" s="6">
        <v>0.6974</v>
      </c>
      <c r="F40" s="6">
        <v>0.565</v>
      </c>
      <c r="G40" s="6">
        <v>0.5751</v>
      </c>
      <c r="H40" s="6">
        <v>1.0E-4</v>
      </c>
      <c r="I40" s="6">
        <v>0.2544</v>
      </c>
      <c r="J40" s="6">
        <v>0.0243</v>
      </c>
      <c r="K40" s="6">
        <v>0.0</v>
      </c>
      <c r="L40" s="6">
        <v>0.1422</v>
      </c>
      <c r="M40" s="6">
        <v>0.0039</v>
      </c>
      <c r="N40" s="5">
        <v>1.0</v>
      </c>
      <c r="O40" s="5">
        <v>4.0</v>
      </c>
      <c r="P40" s="5">
        <v>0.0</v>
      </c>
      <c r="Q40" s="5">
        <v>0.0</v>
      </c>
    </row>
    <row r="41" ht="15.75" customHeight="1">
      <c r="A41" s="3" t="s">
        <v>48</v>
      </c>
      <c r="B41" s="4">
        <v>0.34541666666666665</v>
      </c>
      <c r="C41" s="4">
        <v>0.22590277777777779</v>
      </c>
      <c r="D41" s="5">
        <v>58.0</v>
      </c>
      <c r="E41" s="6">
        <v>0.7612</v>
      </c>
      <c r="F41" s="6">
        <v>0.4858</v>
      </c>
      <c r="G41" s="6">
        <v>0.516</v>
      </c>
      <c r="H41" s="6">
        <v>0.001</v>
      </c>
      <c r="I41" s="6">
        <v>0.2016</v>
      </c>
      <c r="J41" s="6">
        <v>0.137</v>
      </c>
      <c r="K41" s="6">
        <v>0.0</v>
      </c>
      <c r="L41" s="6">
        <v>0.1411</v>
      </c>
      <c r="M41" s="6">
        <v>0.0033</v>
      </c>
      <c r="N41" s="5">
        <v>1.0</v>
      </c>
      <c r="O41" s="5">
        <v>3.0</v>
      </c>
      <c r="P41" s="5">
        <v>0.0</v>
      </c>
      <c r="Q41" s="5">
        <v>1.0</v>
      </c>
    </row>
    <row r="42" ht="15.75" customHeight="1">
      <c r="A42" s="3" t="s">
        <v>49</v>
      </c>
      <c r="B42" s="4">
        <v>0.34445601851851854</v>
      </c>
      <c r="C42" s="4">
        <v>0.20725694444444445</v>
      </c>
      <c r="D42" s="5">
        <v>57.0</v>
      </c>
      <c r="E42" s="6">
        <v>0.695</v>
      </c>
      <c r="F42" s="6">
        <v>0.5723</v>
      </c>
      <c r="G42" s="6">
        <v>0.5842</v>
      </c>
      <c r="H42" s="6">
        <v>0.0</v>
      </c>
      <c r="I42" s="6">
        <v>0.2408</v>
      </c>
      <c r="J42" s="6">
        <v>0.0175</v>
      </c>
      <c r="K42" s="6">
        <v>0.0</v>
      </c>
      <c r="L42" s="6">
        <v>0.1364</v>
      </c>
      <c r="M42" s="6">
        <v>0.0211</v>
      </c>
      <c r="N42" s="5">
        <v>3.0</v>
      </c>
      <c r="O42" s="5">
        <v>1.0</v>
      </c>
      <c r="P42" s="5">
        <v>0.0</v>
      </c>
      <c r="Q42" s="5">
        <v>0.0</v>
      </c>
    </row>
    <row r="43" ht="15.75" customHeight="1">
      <c r="A43" s="3" t="s">
        <v>50</v>
      </c>
      <c r="B43" s="4">
        <v>0.3334259259259259</v>
      </c>
      <c r="C43" s="4">
        <v>0.1627199074074074</v>
      </c>
      <c r="D43" s="5">
        <v>56.0</v>
      </c>
      <c r="E43" s="6">
        <v>0.6966</v>
      </c>
      <c r="F43" s="6">
        <v>0.4654</v>
      </c>
      <c r="G43" s="6">
        <v>0.4749</v>
      </c>
      <c r="H43" s="6">
        <v>0.003</v>
      </c>
      <c r="I43" s="6">
        <v>0.2076</v>
      </c>
      <c r="J43" s="6">
        <v>0.0101</v>
      </c>
      <c r="K43" s="6">
        <v>0.0</v>
      </c>
      <c r="L43" s="6">
        <v>0.3018</v>
      </c>
      <c r="M43" s="6">
        <v>0.0026</v>
      </c>
      <c r="N43" s="5">
        <v>1.0</v>
      </c>
      <c r="O43" s="5">
        <v>1.0</v>
      </c>
      <c r="P43" s="5">
        <v>1.0</v>
      </c>
      <c r="Q43" s="5">
        <v>2.0</v>
      </c>
    </row>
    <row r="44" ht="15.75" customHeight="1">
      <c r="A44" s="3" t="s">
        <v>51</v>
      </c>
      <c r="B44" s="4">
        <v>0.20945601851851853</v>
      </c>
      <c r="C44" s="4">
        <v>0.13993055555555556</v>
      </c>
      <c r="D44" s="5">
        <v>55.0</v>
      </c>
      <c r="E44" s="6">
        <v>0.7027</v>
      </c>
      <c r="F44" s="6">
        <v>0.6438</v>
      </c>
      <c r="G44" s="6">
        <v>0.656</v>
      </c>
      <c r="H44" s="6">
        <v>2.0E-4</v>
      </c>
      <c r="I44" s="6">
        <v>0.2795</v>
      </c>
      <c r="J44" s="6">
        <v>0.0118</v>
      </c>
      <c r="K44" s="6">
        <v>0.0</v>
      </c>
      <c r="L44" s="6">
        <v>0.0497</v>
      </c>
      <c r="M44" s="6">
        <v>0.0027</v>
      </c>
      <c r="N44" s="5">
        <v>1.0</v>
      </c>
      <c r="O44" s="5">
        <v>0.0</v>
      </c>
      <c r="P44" s="5">
        <v>0.0</v>
      </c>
      <c r="Q44" s="5">
        <v>0.0</v>
      </c>
    </row>
    <row r="45" ht="15.75" customHeight="1">
      <c r="A45" s="3" t="s">
        <v>52</v>
      </c>
      <c r="B45" s="4">
        <v>0.3519212962962963</v>
      </c>
      <c r="C45" s="4">
        <v>0.22140046296296295</v>
      </c>
      <c r="D45" s="5">
        <v>54.0</v>
      </c>
      <c r="E45" s="6">
        <v>0.7236</v>
      </c>
      <c r="F45" s="6">
        <v>0.5735</v>
      </c>
      <c r="G45" s="6">
        <v>0.5871</v>
      </c>
      <c r="H45" s="6">
        <v>9.0E-4</v>
      </c>
      <c r="I45" s="6">
        <v>0.2312</v>
      </c>
      <c r="J45" s="6">
        <v>0.0411</v>
      </c>
      <c r="K45" s="6">
        <v>0.0</v>
      </c>
      <c r="L45" s="6">
        <v>0.1376</v>
      </c>
      <c r="M45" s="6">
        <v>0.002</v>
      </c>
      <c r="N45" s="5">
        <v>7.0</v>
      </c>
      <c r="O45" s="5">
        <v>6.0</v>
      </c>
      <c r="P45" s="5">
        <v>0.0</v>
      </c>
      <c r="Q45" s="5">
        <v>0.0</v>
      </c>
    </row>
    <row r="46" ht="15.75" customHeight="1">
      <c r="A46" s="3" t="s">
        <v>53</v>
      </c>
      <c r="B46" s="4">
        <v>0.3287615740740741</v>
      </c>
      <c r="C46" s="4">
        <v>0.2266087962962963</v>
      </c>
      <c r="D46" s="5">
        <v>53.0</v>
      </c>
      <c r="E46" s="6">
        <v>0.78</v>
      </c>
      <c r="F46" s="6">
        <v>0.6472</v>
      </c>
      <c r="G46" s="6">
        <v>0.671</v>
      </c>
      <c r="H46" s="6">
        <v>0.0021</v>
      </c>
      <c r="I46" s="6">
        <v>0.1781</v>
      </c>
      <c r="J46" s="6">
        <v>0.0161</v>
      </c>
      <c r="K46" s="6">
        <v>0.0</v>
      </c>
      <c r="L46" s="6">
        <v>0.119</v>
      </c>
      <c r="M46" s="6">
        <v>0.0138</v>
      </c>
      <c r="N46" s="5">
        <v>3.0</v>
      </c>
      <c r="O46" s="5">
        <v>2.0</v>
      </c>
      <c r="P46" s="5">
        <v>1.0</v>
      </c>
      <c r="Q46" s="5">
        <v>2.0</v>
      </c>
    </row>
    <row r="47" ht="15.75" customHeight="1">
      <c r="A47" s="3" t="s">
        <v>54</v>
      </c>
      <c r="B47" s="4">
        <v>0.33435185185185184</v>
      </c>
      <c r="C47" s="4">
        <v>0.17586805555555557</v>
      </c>
      <c r="D47" s="5">
        <v>52.0</v>
      </c>
      <c r="E47" s="6">
        <v>0.7204</v>
      </c>
      <c r="F47" s="6">
        <v>0.5044</v>
      </c>
      <c r="G47" s="6">
        <v>0.5113</v>
      </c>
      <c r="H47" s="6">
        <v>0.006</v>
      </c>
      <c r="I47" s="6">
        <v>0.1978</v>
      </c>
      <c r="J47" s="6">
        <v>0.0087</v>
      </c>
      <c r="K47" s="6">
        <v>0.0</v>
      </c>
      <c r="L47" s="6">
        <v>0.2708</v>
      </c>
      <c r="M47" s="6">
        <v>0.0054</v>
      </c>
      <c r="N47" s="5">
        <v>3.0</v>
      </c>
      <c r="O47" s="5">
        <v>0.0</v>
      </c>
      <c r="P47" s="5">
        <v>1.0</v>
      </c>
      <c r="Q47" s="5">
        <v>0.0</v>
      </c>
    </row>
    <row r="48" ht="15.75" customHeight="1">
      <c r="A48" s="3" t="s">
        <v>55</v>
      </c>
      <c r="B48" s="4">
        <v>0.3483101851851852</v>
      </c>
      <c r="C48" s="4">
        <v>0.21436342592592592</v>
      </c>
      <c r="D48" s="5">
        <v>51.0</v>
      </c>
      <c r="E48" s="6">
        <v>0.7139</v>
      </c>
      <c r="F48" s="6">
        <v>0.5528</v>
      </c>
      <c r="G48" s="6">
        <v>0.5673</v>
      </c>
      <c r="H48" s="6">
        <v>0.005</v>
      </c>
      <c r="I48" s="6">
        <v>0.2393</v>
      </c>
      <c r="J48" s="6">
        <v>0.0431</v>
      </c>
      <c r="K48" s="6">
        <v>0.0</v>
      </c>
      <c r="L48" s="6">
        <v>0.1385</v>
      </c>
      <c r="M48" s="6">
        <v>0.0067</v>
      </c>
      <c r="N48" s="5">
        <v>5.0</v>
      </c>
      <c r="O48" s="5">
        <v>8.0</v>
      </c>
      <c r="P48" s="5">
        <v>2.0</v>
      </c>
      <c r="Q48" s="5">
        <v>0.0</v>
      </c>
    </row>
    <row r="49" ht="15.75" customHeight="1">
      <c r="A49" s="3" t="s">
        <v>56</v>
      </c>
      <c r="B49" s="4">
        <v>0.3440740740740741</v>
      </c>
      <c r="C49" s="4">
        <v>0.1979861111111111</v>
      </c>
      <c r="D49" s="5">
        <v>50.0</v>
      </c>
      <c r="E49" s="6">
        <v>0.6695</v>
      </c>
      <c r="F49" s="6">
        <v>0.5549</v>
      </c>
      <c r="G49" s="6">
        <v>0.5653</v>
      </c>
      <c r="H49" s="6">
        <v>2.0E-4</v>
      </c>
      <c r="I49" s="6">
        <v>0.2808</v>
      </c>
      <c r="J49" s="6">
        <v>0.0099</v>
      </c>
      <c r="K49" s="6">
        <v>0.0</v>
      </c>
      <c r="L49" s="6">
        <v>0.1408</v>
      </c>
      <c r="M49" s="6">
        <v>0.003</v>
      </c>
      <c r="N49" s="5">
        <v>3.0</v>
      </c>
      <c r="O49" s="5">
        <v>0.0</v>
      </c>
      <c r="P49" s="5">
        <v>0.0</v>
      </c>
      <c r="Q49" s="5">
        <v>0.0</v>
      </c>
    </row>
    <row r="50" ht="15.75" customHeight="1">
      <c r="A50" s="3" t="s">
        <v>57</v>
      </c>
      <c r="B50" s="4">
        <v>0.3328587962962963</v>
      </c>
      <c r="C50" s="4">
        <v>0.1959837962962963</v>
      </c>
      <c r="D50" s="5">
        <v>49.0</v>
      </c>
      <c r="E50" s="6">
        <v>0.6895</v>
      </c>
      <c r="F50" s="6">
        <v>0.5522</v>
      </c>
      <c r="G50" s="6">
        <v>0.5566</v>
      </c>
      <c r="H50" s="6">
        <v>0.0</v>
      </c>
      <c r="I50" s="6">
        <v>0.2622</v>
      </c>
      <c r="J50" s="6">
        <v>0.0322</v>
      </c>
      <c r="K50" s="6">
        <v>0.0</v>
      </c>
      <c r="L50" s="6">
        <v>0.1464</v>
      </c>
      <c r="M50" s="6">
        <v>0.0025</v>
      </c>
      <c r="N50" s="5">
        <v>0.0</v>
      </c>
      <c r="O50" s="5">
        <v>3.0</v>
      </c>
      <c r="P50" s="5">
        <v>0.0</v>
      </c>
      <c r="Q50" s="5">
        <v>2.0</v>
      </c>
    </row>
    <row r="51" ht="15.75" customHeight="1">
      <c r="A51" s="3" t="s">
        <v>58</v>
      </c>
      <c r="B51" s="4">
        <v>0.20570601851851852</v>
      </c>
      <c r="C51" s="4">
        <v>0.13252314814814814</v>
      </c>
      <c r="D51" s="5">
        <v>48.0</v>
      </c>
      <c r="E51" s="6">
        <v>0.6791</v>
      </c>
      <c r="F51" s="6">
        <v>0.5882</v>
      </c>
      <c r="G51" s="6">
        <v>0.6121</v>
      </c>
      <c r="H51" s="6">
        <v>0.0112</v>
      </c>
      <c r="I51" s="6">
        <v>0.2864</v>
      </c>
      <c r="J51" s="6">
        <v>0.021</v>
      </c>
      <c r="K51" s="6">
        <v>0.0</v>
      </c>
      <c r="L51" s="6">
        <v>0.0613</v>
      </c>
      <c r="M51" s="6">
        <v>0.008</v>
      </c>
      <c r="N51" s="5">
        <v>2.0</v>
      </c>
      <c r="O51" s="5">
        <v>2.0</v>
      </c>
      <c r="P51" s="5">
        <v>3.0</v>
      </c>
      <c r="Q51" s="5">
        <v>0.0</v>
      </c>
    </row>
    <row r="52" ht="15.75" customHeight="1">
      <c r="A52" s="3" t="s">
        <v>59</v>
      </c>
      <c r="B52" s="4">
        <v>0.32318287037037036</v>
      </c>
      <c r="C52" s="4">
        <v>0.19381944444444443</v>
      </c>
      <c r="D52" s="5">
        <v>47.0</v>
      </c>
      <c r="E52" s="6">
        <v>0.6734</v>
      </c>
      <c r="F52" s="6">
        <v>0.5553</v>
      </c>
      <c r="G52" s="6">
        <v>0.5633</v>
      </c>
      <c r="H52" s="6">
        <v>5.0E-4</v>
      </c>
      <c r="I52" s="6">
        <v>0.2352</v>
      </c>
      <c r="J52" s="6">
        <v>0.0359</v>
      </c>
      <c r="K52" s="6">
        <v>0.0</v>
      </c>
      <c r="L52" s="6">
        <v>0.1606</v>
      </c>
      <c r="M52" s="6">
        <v>0.0045</v>
      </c>
      <c r="N52" s="5">
        <v>1.0</v>
      </c>
      <c r="O52" s="5">
        <v>6.0</v>
      </c>
      <c r="P52" s="5">
        <v>0.0</v>
      </c>
      <c r="Q52" s="5">
        <v>0.0</v>
      </c>
    </row>
    <row r="53" ht="15.75" customHeight="1">
      <c r="A53" s="3" t="s">
        <v>60</v>
      </c>
      <c r="B53" s="4">
        <v>0.3334837962962963</v>
      </c>
      <c r="C53" s="4">
        <v>0.19890046296296296</v>
      </c>
      <c r="D53" s="5">
        <v>46.0</v>
      </c>
      <c r="E53" s="6">
        <v>0.6981</v>
      </c>
      <c r="F53" s="6">
        <v>0.5582</v>
      </c>
      <c r="G53" s="6">
        <v>0.5789</v>
      </c>
      <c r="H53" s="6">
        <v>4.0E-4</v>
      </c>
      <c r="I53" s="6">
        <v>0.2536</v>
      </c>
      <c r="J53" s="6">
        <v>0.0172</v>
      </c>
      <c r="K53" s="6">
        <v>0.0</v>
      </c>
      <c r="L53" s="6">
        <v>0.1459</v>
      </c>
      <c r="M53" s="6">
        <v>0.0041</v>
      </c>
      <c r="N53" s="5">
        <v>2.0</v>
      </c>
      <c r="O53" s="5">
        <v>1.0</v>
      </c>
      <c r="P53" s="5">
        <v>0.0</v>
      </c>
      <c r="Q53" s="5">
        <v>0.0</v>
      </c>
    </row>
    <row r="54" ht="15.75" customHeight="1">
      <c r="A54" s="3" t="s">
        <v>61</v>
      </c>
      <c r="B54" s="4">
        <v>0.340150462962963</v>
      </c>
      <c r="C54" s="4">
        <v>0.20222222222222222</v>
      </c>
      <c r="D54" s="5">
        <v>45.0</v>
      </c>
      <c r="E54" s="6">
        <v>0.6935</v>
      </c>
      <c r="F54" s="6">
        <v>0.53</v>
      </c>
      <c r="G54" s="6">
        <v>0.5651</v>
      </c>
      <c r="H54" s="6">
        <v>0.0038</v>
      </c>
      <c r="I54" s="6">
        <v>0.2559</v>
      </c>
      <c r="J54" s="6">
        <v>0.025</v>
      </c>
      <c r="K54" s="6">
        <v>0.0</v>
      </c>
      <c r="L54" s="6">
        <v>0.1432</v>
      </c>
      <c r="M54" s="6">
        <v>0.007</v>
      </c>
      <c r="N54" s="5">
        <v>1.0</v>
      </c>
      <c r="O54" s="5">
        <v>3.0</v>
      </c>
      <c r="P54" s="5">
        <v>1.0</v>
      </c>
      <c r="Q54" s="5">
        <v>1.0</v>
      </c>
    </row>
    <row r="55" ht="15.75" customHeight="1">
      <c r="A55" s="3" t="s">
        <v>62</v>
      </c>
      <c r="B55" s="4">
        <v>0.3431134259259259</v>
      </c>
      <c r="C55" s="4">
        <v>0.21112268518518518</v>
      </c>
      <c r="D55" s="5">
        <v>44.0</v>
      </c>
      <c r="E55" s="6">
        <v>0.7164</v>
      </c>
      <c r="F55" s="6">
        <v>0.5464</v>
      </c>
      <c r="G55" s="6">
        <v>0.5542</v>
      </c>
      <c r="H55" s="6">
        <v>1.0E-4</v>
      </c>
      <c r="I55" s="6">
        <v>0.2388</v>
      </c>
      <c r="J55" s="6">
        <v>0.061</v>
      </c>
      <c r="K55" s="6">
        <v>0.0</v>
      </c>
      <c r="L55" s="6">
        <v>0.143</v>
      </c>
      <c r="M55" s="6">
        <v>0.0029</v>
      </c>
      <c r="N55" s="5">
        <v>1.0</v>
      </c>
      <c r="O55" s="5">
        <v>9.0</v>
      </c>
      <c r="P55" s="5">
        <v>0.0</v>
      </c>
      <c r="Q55" s="5">
        <v>0.0</v>
      </c>
    </row>
    <row r="56" ht="15.75" customHeight="1">
      <c r="A56" s="3" t="s">
        <v>63</v>
      </c>
      <c r="B56" s="4">
        <v>0.32046296296296295</v>
      </c>
      <c r="C56" s="4">
        <v>0.18484953703703705</v>
      </c>
      <c r="D56" s="5">
        <v>43.0</v>
      </c>
      <c r="E56" s="6">
        <v>0.6796</v>
      </c>
      <c r="F56" s="6">
        <v>0.5285</v>
      </c>
      <c r="G56" s="6">
        <v>0.5285</v>
      </c>
      <c r="H56" s="6">
        <v>0.0</v>
      </c>
      <c r="I56" s="6">
        <v>0.2682</v>
      </c>
      <c r="J56" s="6">
        <v>0.0483</v>
      </c>
      <c r="K56" s="6">
        <v>0.0</v>
      </c>
      <c r="L56" s="6">
        <v>0.1534</v>
      </c>
      <c r="M56" s="6">
        <v>0.0016</v>
      </c>
      <c r="N56" s="5">
        <v>0.0</v>
      </c>
      <c r="O56" s="5">
        <v>7.0</v>
      </c>
      <c r="P56" s="5">
        <v>0.0</v>
      </c>
      <c r="Q56" s="5">
        <v>0.0</v>
      </c>
    </row>
    <row r="57" ht="15.75" customHeight="1">
      <c r="A57" s="3" t="s">
        <v>64</v>
      </c>
      <c r="B57" s="4">
        <v>0.3338425925925926</v>
      </c>
      <c r="C57" s="4">
        <v>0.1867824074074074</v>
      </c>
      <c r="D57" s="5">
        <v>42.0</v>
      </c>
      <c r="E57" s="6">
        <v>0.6545</v>
      </c>
      <c r="F57" s="6">
        <v>0.5328</v>
      </c>
      <c r="G57" s="6">
        <v>0.5442</v>
      </c>
      <c r="H57" s="6">
        <v>1.0E-4</v>
      </c>
      <c r="I57" s="6">
        <v>0.2877</v>
      </c>
      <c r="J57" s="6">
        <v>0.0152</v>
      </c>
      <c r="K57" s="6">
        <v>0.0</v>
      </c>
      <c r="L57" s="6">
        <v>0.1454</v>
      </c>
      <c r="M57" s="6">
        <v>0.0075</v>
      </c>
      <c r="N57" s="5">
        <v>0.0</v>
      </c>
      <c r="O57" s="5">
        <v>1.0</v>
      </c>
      <c r="P57" s="5">
        <v>0.0</v>
      </c>
      <c r="Q57" s="5">
        <v>7.0</v>
      </c>
    </row>
    <row r="58" ht="15.75" customHeight="1">
      <c r="A58" s="3" t="s">
        <v>65</v>
      </c>
      <c r="B58" s="4">
        <v>0.33012731481481483</v>
      </c>
      <c r="C58" s="4">
        <v>0.18739583333333334</v>
      </c>
      <c r="D58" s="5">
        <v>41.0</v>
      </c>
      <c r="E58" s="6">
        <v>0.6654</v>
      </c>
      <c r="F58" s="6">
        <v>0.5315</v>
      </c>
      <c r="G58" s="6">
        <v>0.5379</v>
      </c>
      <c r="H58" s="6">
        <v>9.0E-4</v>
      </c>
      <c r="I58" s="6">
        <v>0.2681</v>
      </c>
      <c r="J58" s="6">
        <v>0.0289</v>
      </c>
      <c r="K58" s="6">
        <v>0.0</v>
      </c>
      <c r="L58" s="6">
        <v>0.1598</v>
      </c>
      <c r="M58" s="6">
        <v>0.0044</v>
      </c>
      <c r="N58" s="5">
        <v>0.0</v>
      </c>
      <c r="O58" s="5">
        <v>1.0</v>
      </c>
      <c r="P58" s="5">
        <v>0.0</v>
      </c>
      <c r="Q58" s="5">
        <v>0.0</v>
      </c>
    </row>
    <row r="59" ht="15.75" customHeight="1">
      <c r="A59" s="3" t="s">
        <v>66</v>
      </c>
      <c r="B59" s="4">
        <v>0.34032407407407406</v>
      </c>
      <c r="C59" s="4">
        <v>0.2115162037037037</v>
      </c>
      <c r="D59" s="5">
        <v>40.0</v>
      </c>
      <c r="E59" s="6">
        <v>0.7245</v>
      </c>
      <c r="F59" s="6">
        <v>0.5895</v>
      </c>
      <c r="G59" s="6">
        <v>0.5976</v>
      </c>
      <c r="H59" s="6">
        <v>2.0E-4</v>
      </c>
      <c r="I59" s="6">
        <v>0.2134</v>
      </c>
      <c r="J59" s="6">
        <v>0.0237</v>
      </c>
      <c r="K59" s="6">
        <v>0.0</v>
      </c>
      <c r="L59" s="6">
        <v>0.1462</v>
      </c>
      <c r="M59" s="6">
        <v>0.0189</v>
      </c>
      <c r="N59" s="5">
        <v>0.0</v>
      </c>
      <c r="O59" s="5">
        <v>3.0</v>
      </c>
      <c r="P59" s="5">
        <v>0.0</v>
      </c>
      <c r="Q59" s="5">
        <v>1.0</v>
      </c>
    </row>
    <row r="60" ht="15.75" customHeight="1">
      <c r="A60" s="3" t="s">
        <v>67</v>
      </c>
      <c r="B60" s="4">
        <v>0.3371412037037037</v>
      </c>
      <c r="C60" s="4">
        <v>0.13162037037037036</v>
      </c>
      <c r="D60" s="5">
        <v>39.0</v>
      </c>
      <c r="E60" s="6">
        <v>0.6993</v>
      </c>
      <c r="F60" s="6">
        <v>0.349</v>
      </c>
      <c r="G60" s="6">
        <v>0.3596</v>
      </c>
      <c r="H60" s="6">
        <v>0.0195</v>
      </c>
      <c r="I60" s="6">
        <v>0.1643</v>
      </c>
      <c r="J60" s="6">
        <v>0.0113</v>
      </c>
      <c r="K60" s="6">
        <v>0.0</v>
      </c>
      <c r="L60" s="6">
        <v>0.4423</v>
      </c>
      <c r="M60" s="6">
        <v>0.0029</v>
      </c>
      <c r="N60" s="5">
        <v>2.0</v>
      </c>
      <c r="O60" s="5">
        <v>1.0</v>
      </c>
      <c r="P60" s="5">
        <v>4.0</v>
      </c>
      <c r="Q60" s="5">
        <v>0.0</v>
      </c>
    </row>
    <row r="61" ht="15.75" customHeight="1">
      <c r="A61" s="3" t="s">
        <v>68</v>
      </c>
      <c r="B61" s="4">
        <v>0.3436458333333333</v>
      </c>
      <c r="C61" s="4">
        <v>0.1724652777777778</v>
      </c>
      <c r="D61" s="5">
        <v>38.0</v>
      </c>
      <c r="E61" s="6">
        <v>0.6703</v>
      </c>
      <c r="F61" s="6">
        <v>0.4793</v>
      </c>
      <c r="G61" s="6">
        <v>0.4883</v>
      </c>
      <c r="H61" s="6">
        <v>4.0E-4</v>
      </c>
      <c r="I61" s="6">
        <v>0.2269</v>
      </c>
      <c r="J61" s="6">
        <v>0.0131</v>
      </c>
      <c r="K61" s="6">
        <v>0.0</v>
      </c>
      <c r="L61" s="6">
        <v>0.2676</v>
      </c>
      <c r="M61" s="6">
        <v>0.0037</v>
      </c>
      <c r="N61" s="5">
        <v>1.0</v>
      </c>
      <c r="O61" s="5">
        <v>1.0</v>
      </c>
      <c r="P61" s="5">
        <v>0.0</v>
      </c>
      <c r="Q61" s="5">
        <v>0.0</v>
      </c>
    </row>
    <row r="62" ht="15.75" customHeight="1">
      <c r="A62" s="3" t="s">
        <v>69</v>
      </c>
      <c r="B62" s="4">
        <v>0.21915509259259258</v>
      </c>
      <c r="C62" s="4">
        <v>0.15189814814814814</v>
      </c>
      <c r="D62" s="5">
        <v>37.0</v>
      </c>
      <c r="E62" s="6">
        <v>0.7272</v>
      </c>
      <c r="F62" s="6">
        <v>0.6276</v>
      </c>
      <c r="G62" s="6">
        <v>0.6642</v>
      </c>
      <c r="H62" s="6">
        <v>0.0</v>
      </c>
      <c r="I62" s="6">
        <v>0.2521</v>
      </c>
      <c r="J62" s="6">
        <v>0.0289</v>
      </c>
      <c r="K62" s="6">
        <v>0.0</v>
      </c>
      <c r="L62" s="6">
        <v>0.0494</v>
      </c>
      <c r="M62" s="6">
        <v>0.0054</v>
      </c>
      <c r="N62" s="5">
        <v>1.0</v>
      </c>
      <c r="O62" s="5">
        <v>3.0</v>
      </c>
      <c r="P62" s="5">
        <v>0.0</v>
      </c>
      <c r="Q62" s="5">
        <v>0.0</v>
      </c>
    </row>
    <row r="63" ht="15.75" customHeight="1">
      <c r="A63" s="3" t="s">
        <v>70</v>
      </c>
      <c r="B63" s="4">
        <v>0.3417824074074074</v>
      </c>
      <c r="C63" s="4">
        <v>0.17645833333333333</v>
      </c>
      <c r="D63" s="5">
        <v>36.0</v>
      </c>
      <c r="E63" s="6">
        <v>0.7074</v>
      </c>
      <c r="F63" s="6">
        <v>0.4756</v>
      </c>
      <c r="G63" s="6">
        <v>0.4966</v>
      </c>
      <c r="H63" s="6">
        <v>0.0018</v>
      </c>
      <c r="I63" s="6">
        <v>0.2107</v>
      </c>
      <c r="J63" s="6">
        <v>0.0179</v>
      </c>
      <c r="K63" s="6">
        <v>0.0</v>
      </c>
      <c r="L63" s="6">
        <v>0.2705</v>
      </c>
      <c r="M63" s="6">
        <v>0.0026</v>
      </c>
      <c r="N63" s="5">
        <v>2.0</v>
      </c>
      <c r="O63" s="5">
        <v>1.0</v>
      </c>
      <c r="P63" s="5">
        <v>0.0</v>
      </c>
      <c r="Q63" s="5">
        <v>0.0</v>
      </c>
    </row>
    <row r="64" ht="15.75" customHeight="1">
      <c r="A64" s="3" t="s">
        <v>71</v>
      </c>
      <c r="B64" s="4">
        <v>0.3337037037037037</v>
      </c>
      <c r="C64" s="4">
        <v>0.16336805555555556</v>
      </c>
      <c r="D64" s="5">
        <v>35.0</v>
      </c>
      <c r="E64" s="6">
        <v>0.7286</v>
      </c>
      <c r="F64" s="6">
        <v>0.4364</v>
      </c>
      <c r="G64" s="6">
        <v>0.4531</v>
      </c>
      <c r="H64" s="6">
        <v>0.0031</v>
      </c>
      <c r="I64" s="6">
        <v>0.1765</v>
      </c>
      <c r="J64" s="6">
        <v>0.0333</v>
      </c>
      <c r="K64" s="6">
        <v>0.0</v>
      </c>
      <c r="L64" s="6">
        <v>0.3298</v>
      </c>
      <c r="M64" s="6">
        <v>0.0041</v>
      </c>
      <c r="N64" s="5">
        <v>0.0</v>
      </c>
      <c r="O64" s="5">
        <v>6.0</v>
      </c>
      <c r="P64" s="5">
        <v>1.0</v>
      </c>
      <c r="Q64" s="5">
        <v>0.0</v>
      </c>
    </row>
    <row r="65" ht="15.75" customHeight="1">
      <c r="A65" s="3" t="s">
        <v>72</v>
      </c>
      <c r="B65" s="4">
        <v>0.3302662037037037</v>
      </c>
      <c r="C65" s="4">
        <v>0.1602199074074074</v>
      </c>
      <c r="D65" s="5">
        <v>34.0</v>
      </c>
      <c r="E65" s="6">
        <v>0.6916</v>
      </c>
      <c r="F65" s="6">
        <v>0.4513</v>
      </c>
      <c r="G65" s="6">
        <v>0.4878</v>
      </c>
      <c r="H65" s="6">
        <v>0.0143</v>
      </c>
      <c r="I65" s="6">
        <v>0.1793</v>
      </c>
      <c r="J65" s="6">
        <v>0.0127</v>
      </c>
      <c r="K65" s="6">
        <v>0.0</v>
      </c>
      <c r="L65" s="6">
        <v>0.3041</v>
      </c>
      <c r="M65" s="6">
        <v>0.0017</v>
      </c>
      <c r="N65" s="5">
        <v>1.0</v>
      </c>
      <c r="O65" s="5">
        <v>1.0</v>
      </c>
      <c r="P65" s="5">
        <v>4.0</v>
      </c>
      <c r="Q65" s="5">
        <v>1.0</v>
      </c>
    </row>
    <row r="66" ht="15.75" customHeight="1">
      <c r="A66" s="3" t="s">
        <v>73</v>
      </c>
      <c r="B66" s="4">
        <v>0.2091087962962963</v>
      </c>
      <c r="C66" s="4">
        <v>0.13449074074074074</v>
      </c>
      <c r="D66" s="5">
        <v>33.0</v>
      </c>
      <c r="E66" s="6">
        <v>0.6766</v>
      </c>
      <c r="F66" s="6">
        <v>0.6124</v>
      </c>
      <c r="G66" s="6">
        <v>0.6307</v>
      </c>
      <c r="H66" s="6">
        <v>0.0</v>
      </c>
      <c r="I66" s="6">
        <v>0.2538</v>
      </c>
      <c r="J66" s="6">
        <v>0.0125</v>
      </c>
      <c r="K66" s="6">
        <v>0.0</v>
      </c>
      <c r="L66" s="6">
        <v>0.0982</v>
      </c>
      <c r="M66" s="6">
        <v>0.0048</v>
      </c>
      <c r="N66" s="5">
        <v>3.0</v>
      </c>
      <c r="O66" s="5">
        <v>0.0</v>
      </c>
      <c r="P66" s="5">
        <v>0.0</v>
      </c>
      <c r="Q66" s="5">
        <v>0.0</v>
      </c>
    </row>
    <row r="67" ht="15.75" customHeight="1">
      <c r="A67" s="3" t="s">
        <v>74</v>
      </c>
      <c r="B67" s="4">
        <v>0.34836805555555556</v>
      </c>
      <c r="C67" s="4">
        <v>0.19697916666666668</v>
      </c>
      <c r="D67" s="5">
        <v>32.0</v>
      </c>
      <c r="E67" s="6">
        <v>0.6437</v>
      </c>
      <c r="F67" s="6">
        <v>0.5176</v>
      </c>
      <c r="G67" s="6">
        <v>0.5405</v>
      </c>
      <c r="H67" s="6">
        <v>0.0</v>
      </c>
      <c r="I67" s="6">
        <v>0.2826</v>
      </c>
      <c r="J67" s="6">
        <v>0.0249</v>
      </c>
      <c r="K67" s="6">
        <v>0.0</v>
      </c>
      <c r="L67" s="6">
        <v>0.1476</v>
      </c>
      <c r="M67" s="6">
        <v>0.0043</v>
      </c>
      <c r="N67" s="5">
        <v>3.0</v>
      </c>
      <c r="O67" s="5">
        <v>4.0</v>
      </c>
      <c r="P67" s="5">
        <v>0.0</v>
      </c>
      <c r="Q67" s="5">
        <v>0.0</v>
      </c>
    </row>
    <row r="68" ht="15.75" customHeight="1">
      <c r="A68" s="3" t="s">
        <v>75</v>
      </c>
      <c r="B68" s="4">
        <v>0.34686342592592595</v>
      </c>
      <c r="C68" s="4">
        <v>0.20438657407407407</v>
      </c>
      <c r="D68" s="5">
        <v>31.0</v>
      </c>
      <c r="E68" s="6">
        <v>0.6805</v>
      </c>
      <c r="F68" s="6">
        <v>0.5555</v>
      </c>
      <c r="G68" s="6">
        <v>0.5705</v>
      </c>
      <c r="H68" s="6">
        <v>0.0103</v>
      </c>
      <c r="I68" s="6">
        <v>0.2639</v>
      </c>
      <c r="J68" s="6">
        <v>0.0081</v>
      </c>
      <c r="K68" s="6">
        <v>0.0</v>
      </c>
      <c r="L68" s="6">
        <v>0.137</v>
      </c>
      <c r="M68" s="6">
        <v>0.0101</v>
      </c>
      <c r="N68" s="5">
        <v>3.0</v>
      </c>
      <c r="O68" s="5">
        <v>0.0</v>
      </c>
      <c r="P68" s="5">
        <v>5.0</v>
      </c>
      <c r="Q68" s="5">
        <v>1.0</v>
      </c>
    </row>
    <row r="69" ht="15.75" customHeight="1">
      <c r="A69" s="3" t="s">
        <v>76</v>
      </c>
      <c r="B69" s="4">
        <v>0.34806712962962966</v>
      </c>
      <c r="C69" s="4">
        <v>0.19177083333333333</v>
      </c>
      <c r="D69" s="5">
        <v>30.0</v>
      </c>
      <c r="E69" s="6">
        <v>0.7529</v>
      </c>
      <c r="F69" s="6">
        <v>0.4554</v>
      </c>
      <c r="G69" s="6">
        <v>0.4689</v>
      </c>
      <c r="H69" s="6">
        <v>0.0409</v>
      </c>
      <c r="I69" s="6">
        <v>0.1757</v>
      </c>
      <c r="J69" s="6">
        <v>0.0411</v>
      </c>
      <c r="K69" s="6">
        <v>0.0</v>
      </c>
      <c r="L69" s="6">
        <v>0.2699</v>
      </c>
      <c r="M69" s="6">
        <v>0.0034</v>
      </c>
      <c r="N69" s="5">
        <v>6.0</v>
      </c>
      <c r="O69" s="5">
        <v>8.0</v>
      </c>
      <c r="P69" s="5">
        <v>6.0</v>
      </c>
      <c r="Q69" s="5">
        <v>0.0</v>
      </c>
    </row>
    <row r="70" ht="15.75" customHeight="1">
      <c r="A70" s="3" t="s">
        <v>77</v>
      </c>
      <c r="B70" s="4">
        <v>0.3349537037037037</v>
      </c>
      <c r="C70" s="4">
        <v>0.19739583333333333</v>
      </c>
      <c r="D70" s="5">
        <v>29.0</v>
      </c>
      <c r="E70" s="6">
        <v>0.6892</v>
      </c>
      <c r="F70" s="6">
        <v>0.5345</v>
      </c>
      <c r="G70" s="6">
        <v>0.5573</v>
      </c>
      <c r="H70" s="6">
        <v>0.014</v>
      </c>
      <c r="I70" s="6">
        <v>0.2588</v>
      </c>
      <c r="J70" s="6">
        <v>0.0181</v>
      </c>
      <c r="K70" s="6">
        <v>0.0</v>
      </c>
      <c r="L70" s="6">
        <v>0.1452</v>
      </c>
      <c r="M70" s="6">
        <v>0.0066</v>
      </c>
      <c r="N70" s="5">
        <v>1.0</v>
      </c>
      <c r="O70" s="5">
        <v>2.0</v>
      </c>
      <c r="P70" s="5">
        <v>2.0</v>
      </c>
      <c r="Q70" s="5">
        <v>1.0</v>
      </c>
    </row>
    <row r="71" ht="15.75" customHeight="1">
      <c r="A71" s="3" t="s">
        <v>78</v>
      </c>
      <c r="B71" s="4">
        <v>0.34497685185185184</v>
      </c>
      <c r="C71" s="4">
        <v>0.2074652777777778</v>
      </c>
      <c r="D71" s="5">
        <v>28.0</v>
      </c>
      <c r="E71" s="6">
        <v>0.7478</v>
      </c>
      <c r="F71" s="6">
        <v>0.5591</v>
      </c>
      <c r="G71" s="6">
        <v>0.575</v>
      </c>
      <c r="H71" s="6">
        <v>0.0092</v>
      </c>
      <c r="I71" s="6">
        <v>0.1967</v>
      </c>
      <c r="J71" s="6">
        <v>0.0158</v>
      </c>
      <c r="K71" s="6">
        <v>0.0</v>
      </c>
      <c r="L71" s="6">
        <v>0.1961</v>
      </c>
      <c r="M71" s="6">
        <v>0.0072</v>
      </c>
      <c r="N71" s="5">
        <v>3.0</v>
      </c>
      <c r="O71" s="5">
        <v>1.0</v>
      </c>
      <c r="P71" s="5">
        <v>2.0</v>
      </c>
      <c r="Q71" s="5">
        <v>2.0</v>
      </c>
    </row>
    <row r="72" ht="15.75" customHeight="1">
      <c r="A72" s="3" t="s">
        <v>79</v>
      </c>
      <c r="B72" s="4">
        <v>0.3337615740740741</v>
      </c>
      <c r="C72" s="4">
        <v>0.19787037037037036</v>
      </c>
      <c r="D72" s="5">
        <v>29.0</v>
      </c>
      <c r="E72" s="6">
        <v>0.6935</v>
      </c>
      <c r="F72" s="6">
        <v>0.5685</v>
      </c>
      <c r="G72" s="6">
        <v>0.5687</v>
      </c>
      <c r="H72" s="6">
        <v>0.0071</v>
      </c>
      <c r="I72" s="6">
        <v>0.2584</v>
      </c>
      <c r="J72" s="6">
        <v>0.017</v>
      </c>
      <c r="K72" s="6">
        <v>0.0</v>
      </c>
      <c r="L72" s="6">
        <v>0.1454</v>
      </c>
      <c r="M72" s="6">
        <v>0.0034</v>
      </c>
      <c r="N72" s="5">
        <v>1.0</v>
      </c>
      <c r="O72" s="5">
        <v>0.0</v>
      </c>
      <c r="P72" s="5">
        <v>1.0</v>
      </c>
      <c r="Q72" s="5">
        <v>0.0</v>
      </c>
    </row>
    <row r="73" ht="15.75" customHeight="1">
      <c r="A73" s="3" t="s">
        <v>80</v>
      </c>
      <c r="B73" s="4">
        <v>0.33037037037037037</v>
      </c>
      <c r="C73" s="4">
        <v>0.18496527777777777</v>
      </c>
      <c r="D73" s="5">
        <v>30.0</v>
      </c>
      <c r="E73" s="6">
        <v>0.7003</v>
      </c>
      <c r="F73" s="6">
        <v>0.4751</v>
      </c>
      <c r="G73" s="6">
        <v>0.4895</v>
      </c>
      <c r="H73" s="6">
        <v>0.0137</v>
      </c>
      <c r="I73" s="6">
        <v>0.2358</v>
      </c>
      <c r="J73" s="6">
        <v>0.0567</v>
      </c>
      <c r="K73" s="6">
        <v>0.0</v>
      </c>
      <c r="L73" s="6">
        <v>0.2019</v>
      </c>
      <c r="M73" s="6">
        <v>0.0024</v>
      </c>
      <c r="N73" s="5">
        <v>1.0</v>
      </c>
      <c r="O73" s="5">
        <v>8.0</v>
      </c>
      <c r="P73" s="5">
        <v>4.0</v>
      </c>
      <c r="Q73" s="5">
        <v>0.0</v>
      </c>
    </row>
    <row r="74" ht="15.75" customHeight="1">
      <c r="A74" s="3" t="s">
        <v>81</v>
      </c>
      <c r="B74" s="4">
        <v>0.3400810185185185</v>
      </c>
      <c r="C74" s="4">
        <v>0.16811342592592593</v>
      </c>
      <c r="D74" s="5">
        <v>31.0</v>
      </c>
      <c r="E74" s="6">
        <v>0.6721</v>
      </c>
      <c r="F74" s="6">
        <v>0.4758</v>
      </c>
      <c r="G74" s="6">
        <v>0.4807</v>
      </c>
      <c r="H74" s="6">
        <v>0.0</v>
      </c>
      <c r="I74" s="6">
        <v>0.2345</v>
      </c>
      <c r="J74" s="6">
        <v>0.0136</v>
      </c>
      <c r="K74" s="6">
        <v>0.0</v>
      </c>
      <c r="L74" s="6">
        <v>0.2693</v>
      </c>
      <c r="M74" s="6">
        <v>0.0018</v>
      </c>
      <c r="N74" s="5">
        <v>0.0</v>
      </c>
      <c r="O74" s="5">
        <v>1.0</v>
      </c>
      <c r="P74" s="5">
        <v>0.0</v>
      </c>
      <c r="Q74" s="5">
        <v>0.0</v>
      </c>
    </row>
    <row r="75" ht="15.75" customHeight="1">
      <c r="A75" s="3" t="s">
        <v>82</v>
      </c>
      <c r="B75" s="4">
        <v>0.3341550925925926</v>
      </c>
      <c r="C75" s="4">
        <v>0.16863425925925926</v>
      </c>
      <c r="D75" s="5">
        <v>32.0</v>
      </c>
      <c r="E75" s="6">
        <v>0.7249</v>
      </c>
      <c r="F75" s="6">
        <v>0.469</v>
      </c>
      <c r="G75" s="6">
        <v>0.484</v>
      </c>
      <c r="H75" s="6">
        <v>0.0</v>
      </c>
      <c r="I75" s="6">
        <v>0.1879</v>
      </c>
      <c r="J75" s="6">
        <v>0.0206</v>
      </c>
      <c r="K75" s="6">
        <v>0.0</v>
      </c>
      <c r="L75" s="6">
        <v>0.3043</v>
      </c>
      <c r="M75" s="6">
        <v>0.0032</v>
      </c>
      <c r="N75" s="5">
        <v>0.0</v>
      </c>
      <c r="O75" s="5">
        <v>3.0</v>
      </c>
      <c r="P75" s="5">
        <v>0.0</v>
      </c>
      <c r="Q75" s="5">
        <v>1.0</v>
      </c>
    </row>
    <row r="76" ht="15.75" customHeight="1">
      <c r="A76" s="3" t="s">
        <v>83</v>
      </c>
      <c r="B76" s="4">
        <v>0.344375</v>
      </c>
      <c r="C76" s="4">
        <v>0.18534722222222222</v>
      </c>
      <c r="D76" s="5">
        <v>33.0</v>
      </c>
      <c r="E76" s="6">
        <v>0.7012</v>
      </c>
      <c r="F76" s="6">
        <v>0.5136</v>
      </c>
      <c r="G76" s="6">
        <v>0.5206</v>
      </c>
      <c r="H76" s="6">
        <v>0.0021</v>
      </c>
      <c r="I76" s="6">
        <v>0.2158</v>
      </c>
      <c r="J76" s="6">
        <v>0.0232</v>
      </c>
      <c r="K76" s="6">
        <v>0.0</v>
      </c>
      <c r="L76" s="6">
        <v>0.2328</v>
      </c>
      <c r="M76" s="6">
        <v>0.0056</v>
      </c>
      <c r="N76" s="5">
        <v>2.0</v>
      </c>
      <c r="O76" s="5">
        <v>1.0</v>
      </c>
      <c r="P76" s="5">
        <v>1.0</v>
      </c>
      <c r="Q76" s="5">
        <v>0.0</v>
      </c>
    </row>
    <row r="77" ht="15.75" customHeight="1">
      <c r="A77" s="3" t="s">
        <v>84</v>
      </c>
      <c r="B77" s="4">
        <v>0.3558101851851852</v>
      </c>
      <c r="C77" s="4">
        <v>0.2164236111111111</v>
      </c>
      <c r="D77" s="5">
        <v>34.0</v>
      </c>
      <c r="E77" s="6">
        <v>0.7516</v>
      </c>
      <c r="F77" s="6">
        <v>0.5251</v>
      </c>
      <c r="G77" s="6">
        <v>0.5512</v>
      </c>
      <c r="H77" s="6">
        <v>0.0054</v>
      </c>
      <c r="I77" s="6">
        <v>0.1966</v>
      </c>
      <c r="J77" s="6">
        <v>0.0516</v>
      </c>
      <c r="K77" s="6">
        <v>0.0</v>
      </c>
      <c r="L77" s="6">
        <v>0.1926</v>
      </c>
      <c r="M77" s="6">
        <v>0.0025</v>
      </c>
      <c r="N77" s="5">
        <v>3.0</v>
      </c>
      <c r="O77" s="5">
        <v>12.0</v>
      </c>
      <c r="P77" s="5">
        <v>2.0</v>
      </c>
      <c r="Q77" s="5">
        <v>0.0</v>
      </c>
    </row>
    <row r="78" ht="15.75" customHeight="1">
      <c r="A78" s="3" t="s">
        <v>85</v>
      </c>
      <c r="B78" s="4">
        <v>0.3484837962962963</v>
      </c>
      <c r="C78" s="4">
        <v>0.1276736111111111</v>
      </c>
      <c r="D78" s="5">
        <v>35.0</v>
      </c>
      <c r="E78" s="6">
        <v>0.734</v>
      </c>
      <c r="F78" s="6">
        <v>0.3486</v>
      </c>
      <c r="G78" s="6">
        <v>0.3486</v>
      </c>
      <c r="H78" s="6">
        <v>0.0</v>
      </c>
      <c r="I78" s="6">
        <v>0.1311</v>
      </c>
      <c r="J78" s="6">
        <v>0.0178</v>
      </c>
      <c r="K78" s="6">
        <v>0.0</v>
      </c>
      <c r="L78" s="6">
        <v>0.501</v>
      </c>
      <c r="M78" s="6">
        <v>0.0015</v>
      </c>
      <c r="N78" s="5">
        <v>0.0</v>
      </c>
      <c r="O78" s="5">
        <v>3.0</v>
      </c>
      <c r="P78" s="5">
        <v>0.0</v>
      </c>
      <c r="Q78" s="5">
        <v>0.0</v>
      </c>
    </row>
    <row r="79" ht="15.75" customHeight="1">
      <c r="A79" s="3" t="s">
        <v>86</v>
      </c>
      <c r="B79" s="4">
        <v>0.3509259259259259</v>
      </c>
      <c r="C79" s="4">
        <v>0.12086805555555556</v>
      </c>
      <c r="D79" s="5">
        <v>36.0</v>
      </c>
      <c r="E79" s="6">
        <v>0.7121</v>
      </c>
      <c r="F79" s="6">
        <v>0.3147</v>
      </c>
      <c r="G79" s="6">
        <v>0.3238</v>
      </c>
      <c r="H79" s="6">
        <v>0.0</v>
      </c>
      <c r="I79" s="6">
        <v>0.1376</v>
      </c>
      <c r="J79" s="6">
        <v>0.0206</v>
      </c>
      <c r="K79" s="6">
        <v>0.0</v>
      </c>
      <c r="L79" s="6">
        <v>0.5167</v>
      </c>
      <c r="M79" s="6">
        <v>0.0013</v>
      </c>
      <c r="N79" s="5">
        <v>1.0</v>
      </c>
      <c r="O79" s="5">
        <v>1.0</v>
      </c>
      <c r="P79" s="5">
        <v>0.0</v>
      </c>
      <c r="Q79" s="5">
        <v>1.0</v>
      </c>
    </row>
    <row r="80" ht="15.75" customHeight="1">
      <c r="A80" s="3" t="s">
        <v>87</v>
      </c>
      <c r="B80" s="4">
        <v>0.33891203703703704</v>
      </c>
      <c r="C80" s="4">
        <v>0.2158101851851852</v>
      </c>
      <c r="D80" s="5">
        <v>37.0</v>
      </c>
      <c r="E80" s="6">
        <v>0.7435</v>
      </c>
      <c r="F80" s="6">
        <v>0.556</v>
      </c>
      <c r="G80" s="6">
        <v>0.5633</v>
      </c>
      <c r="H80" s="6">
        <v>1.0E-4</v>
      </c>
      <c r="I80" s="6">
        <v>0.2164</v>
      </c>
      <c r="J80" s="6">
        <v>0.0734</v>
      </c>
      <c r="K80" s="6">
        <v>0.0</v>
      </c>
      <c r="L80" s="6">
        <v>0.1443</v>
      </c>
      <c r="M80" s="6">
        <v>0.0026</v>
      </c>
      <c r="N80" s="5">
        <v>1.0</v>
      </c>
      <c r="O80" s="5">
        <v>12.0</v>
      </c>
      <c r="P80" s="5">
        <v>0.0</v>
      </c>
      <c r="Q80" s="5">
        <v>0.0</v>
      </c>
    </row>
    <row r="81" ht="15.75" customHeight="1">
      <c r="A81" s="3" t="s">
        <v>88</v>
      </c>
      <c r="B81" s="4">
        <v>0.34675925925925927</v>
      </c>
      <c r="C81" s="4">
        <v>0.17275462962962962</v>
      </c>
      <c r="D81" s="5">
        <v>38.0</v>
      </c>
      <c r="E81" s="6">
        <v>0.7271</v>
      </c>
      <c r="F81" s="6">
        <v>0.4622</v>
      </c>
      <c r="G81" s="6">
        <v>0.4693</v>
      </c>
      <c r="H81" s="6">
        <v>1.0E-4</v>
      </c>
      <c r="I81" s="6">
        <v>0.1752</v>
      </c>
      <c r="J81" s="6">
        <v>0.0288</v>
      </c>
      <c r="K81" s="6">
        <v>0.0</v>
      </c>
      <c r="L81" s="6">
        <v>0.3154</v>
      </c>
      <c r="M81" s="6">
        <v>0.0112</v>
      </c>
      <c r="N81" s="5">
        <v>2.0</v>
      </c>
      <c r="O81" s="5">
        <v>5.0</v>
      </c>
      <c r="P81" s="5">
        <v>0.0</v>
      </c>
      <c r="Q81" s="5">
        <v>1.0</v>
      </c>
    </row>
    <row r="82" ht="15.75" customHeight="1">
      <c r="A82" s="3" t="s">
        <v>89</v>
      </c>
      <c r="B82" s="4">
        <v>0.3511111111111111</v>
      </c>
      <c r="C82" s="4">
        <v>0.1533912037037037</v>
      </c>
      <c r="D82" s="5">
        <v>39.0</v>
      </c>
      <c r="E82" s="6">
        <v>0.7225</v>
      </c>
      <c r="F82" s="6">
        <v>0.3908</v>
      </c>
      <c r="G82" s="6">
        <v>0.3948</v>
      </c>
      <c r="H82" s="6">
        <v>0.0018</v>
      </c>
      <c r="I82" s="6">
        <v>0.1656</v>
      </c>
      <c r="J82" s="6">
        <v>0.0402</v>
      </c>
      <c r="K82" s="6">
        <v>0.0</v>
      </c>
      <c r="L82" s="6">
        <v>0.3956</v>
      </c>
      <c r="M82" s="6">
        <v>0.0019</v>
      </c>
      <c r="N82" s="5">
        <v>3.0</v>
      </c>
      <c r="O82" s="5">
        <v>5.0</v>
      </c>
      <c r="P82" s="5">
        <v>1.0</v>
      </c>
      <c r="Q82" s="5">
        <v>0.0</v>
      </c>
    </row>
    <row r="83" ht="15.75" customHeight="1">
      <c r="A83" s="3" t="s">
        <v>90</v>
      </c>
      <c r="B83" s="4">
        <v>0.3447453703703704</v>
      </c>
      <c r="C83" s="4">
        <v>0.21947916666666667</v>
      </c>
      <c r="D83" s="5">
        <v>40.0</v>
      </c>
      <c r="E83" s="6">
        <v>0.7384</v>
      </c>
      <c r="F83" s="6">
        <v>0.5471</v>
      </c>
      <c r="G83" s="6">
        <v>0.5589</v>
      </c>
      <c r="H83" s="6">
        <v>0.0031</v>
      </c>
      <c r="I83" s="6">
        <v>0.2196</v>
      </c>
      <c r="J83" s="6">
        <v>0.0747</v>
      </c>
      <c r="K83" s="6">
        <v>0.0</v>
      </c>
      <c r="L83" s="6">
        <v>0.1381</v>
      </c>
      <c r="M83" s="6">
        <v>0.0057</v>
      </c>
      <c r="N83" s="5">
        <v>0.0</v>
      </c>
      <c r="O83" s="5">
        <v>8.0</v>
      </c>
      <c r="P83" s="5">
        <v>1.0</v>
      </c>
      <c r="Q83" s="5">
        <v>0.0</v>
      </c>
    </row>
    <row r="84" ht="15.75" customHeight="1">
      <c r="A84" s="3" t="s">
        <v>91</v>
      </c>
      <c r="B84" s="4">
        <v>0.3167476851851852</v>
      </c>
      <c r="C84" s="4">
        <v>0.21346064814814814</v>
      </c>
      <c r="D84" s="5">
        <v>41.0</v>
      </c>
      <c r="E84" s="6">
        <v>0.7214</v>
      </c>
      <c r="F84" s="6">
        <v>0.6146</v>
      </c>
      <c r="G84" s="6">
        <v>0.6179</v>
      </c>
      <c r="H84" s="6">
        <v>1.0E-4</v>
      </c>
      <c r="I84" s="6">
        <v>0.2563</v>
      </c>
      <c r="J84" s="6">
        <v>0.0559</v>
      </c>
      <c r="K84" s="6">
        <v>0.0</v>
      </c>
      <c r="L84" s="6">
        <v>0.0665</v>
      </c>
      <c r="M84" s="6">
        <v>0.0033</v>
      </c>
      <c r="N84" s="5">
        <v>4.0</v>
      </c>
      <c r="O84" s="5">
        <v>6.0</v>
      </c>
      <c r="P84" s="5">
        <v>0.0</v>
      </c>
      <c r="Q84" s="5">
        <v>0.0</v>
      </c>
    </row>
    <row r="85" ht="15.75" customHeight="1">
      <c r="A85" s="3" t="s">
        <v>92</v>
      </c>
      <c r="B85" s="4">
        <v>0.34024305555555556</v>
      </c>
      <c r="C85" s="4">
        <v>0.21100694444444446</v>
      </c>
      <c r="D85" s="5">
        <v>42.0</v>
      </c>
      <c r="E85" s="6">
        <v>0.7195</v>
      </c>
      <c r="F85" s="6">
        <v>0.5534</v>
      </c>
      <c r="G85" s="6">
        <v>0.5664</v>
      </c>
      <c r="H85" s="6">
        <v>2.0E-4</v>
      </c>
      <c r="I85" s="6">
        <v>0.2344</v>
      </c>
      <c r="J85" s="6">
        <v>0.0536</v>
      </c>
      <c r="K85" s="6">
        <v>0.0</v>
      </c>
      <c r="L85" s="6">
        <v>0.1403</v>
      </c>
      <c r="M85" s="6">
        <v>0.0051</v>
      </c>
      <c r="N85" s="5">
        <v>1.0</v>
      </c>
      <c r="O85" s="5">
        <v>7.0</v>
      </c>
      <c r="P85" s="5">
        <v>0.0</v>
      </c>
      <c r="Q85" s="5">
        <v>0.0</v>
      </c>
    </row>
    <row r="86" ht="15.75" customHeight="1">
      <c r="A86" s="3" t="s">
        <v>93</v>
      </c>
      <c r="B86" s="4">
        <v>0.33611111111111114</v>
      </c>
      <c r="C86" s="4">
        <v>0.2121412037037037</v>
      </c>
      <c r="D86" s="5">
        <v>43.0</v>
      </c>
      <c r="E86" s="6">
        <v>0.7291</v>
      </c>
      <c r="F86" s="6">
        <v>0.6114</v>
      </c>
      <c r="G86" s="6">
        <v>0.6191</v>
      </c>
      <c r="H86" s="6">
        <v>0.0</v>
      </c>
      <c r="I86" s="6">
        <v>0.2253</v>
      </c>
      <c r="J86" s="6">
        <v>0.0121</v>
      </c>
      <c r="K86" s="6">
        <v>0.0</v>
      </c>
      <c r="L86" s="6">
        <v>0.1413</v>
      </c>
      <c r="M86" s="6">
        <v>0.0022</v>
      </c>
      <c r="N86" s="5">
        <v>2.0</v>
      </c>
      <c r="O86" s="5">
        <v>1.0</v>
      </c>
      <c r="P86" s="5">
        <v>0.0</v>
      </c>
      <c r="Q86" s="5">
        <v>0.0</v>
      </c>
    </row>
    <row r="87" ht="15.75" customHeight="1">
      <c r="A87" s="3" t="s">
        <v>94</v>
      </c>
      <c r="B87" s="4">
        <v>0.3331365740740741</v>
      </c>
      <c r="C87" s="4">
        <v>0.18670138888888888</v>
      </c>
      <c r="D87" s="5">
        <v>44.0</v>
      </c>
      <c r="E87" s="6">
        <v>0.7018</v>
      </c>
      <c r="F87" s="6">
        <v>0.5122</v>
      </c>
      <c r="G87" s="6">
        <v>0.5327</v>
      </c>
      <c r="H87" s="6">
        <v>0.0027</v>
      </c>
      <c r="I87" s="6">
        <v>0.2355</v>
      </c>
      <c r="J87" s="6">
        <v>0.025</v>
      </c>
      <c r="K87" s="6">
        <v>0.0</v>
      </c>
      <c r="L87" s="6">
        <v>0.2024</v>
      </c>
      <c r="M87" s="6">
        <v>0.0017</v>
      </c>
      <c r="N87" s="5">
        <v>2.0</v>
      </c>
      <c r="O87" s="5">
        <v>4.0</v>
      </c>
      <c r="P87" s="5">
        <v>1.0</v>
      </c>
      <c r="Q87" s="5">
        <v>0.0</v>
      </c>
    </row>
    <row r="88" ht="15.75" customHeight="1">
      <c r="A88" s="3" t="s">
        <v>95</v>
      </c>
      <c r="B88" s="4">
        <v>0.3513541666666667</v>
      </c>
      <c r="C88" s="4">
        <v>0.20708333333333334</v>
      </c>
      <c r="D88" s="5">
        <v>45.0</v>
      </c>
      <c r="E88" s="6">
        <v>0.6981</v>
      </c>
      <c r="F88" s="6">
        <v>0.5603</v>
      </c>
      <c r="G88" s="6">
        <v>0.5755</v>
      </c>
      <c r="H88" s="6">
        <v>6.0E-4</v>
      </c>
      <c r="I88" s="6">
        <v>0.2499</v>
      </c>
      <c r="J88" s="6">
        <v>0.0133</v>
      </c>
      <c r="K88" s="6">
        <v>0.0</v>
      </c>
      <c r="L88" s="6">
        <v>0.1564</v>
      </c>
      <c r="M88" s="6">
        <v>0.0043</v>
      </c>
      <c r="N88" s="5">
        <v>1.0</v>
      </c>
      <c r="O88" s="5">
        <v>1.0</v>
      </c>
      <c r="P88" s="5">
        <v>0.0</v>
      </c>
      <c r="Q88" s="5">
        <v>0.0</v>
      </c>
    </row>
    <row r="89" ht="15.75" customHeight="1">
      <c r="A89" s="3" t="s">
        <v>96</v>
      </c>
      <c r="B89" s="4">
        <v>0.3435648148148148</v>
      </c>
      <c r="C89" s="4">
        <v>0.16344907407407408</v>
      </c>
      <c r="D89" s="5">
        <v>46.0</v>
      </c>
      <c r="E89" s="6">
        <v>0.6841</v>
      </c>
      <c r="F89" s="6">
        <v>0.4289</v>
      </c>
      <c r="G89" s="6">
        <v>0.4444</v>
      </c>
      <c r="H89" s="6">
        <v>2.0E-4</v>
      </c>
      <c r="I89" s="6">
        <v>0.2105</v>
      </c>
      <c r="J89" s="6">
        <v>0.0311</v>
      </c>
      <c r="K89" s="6">
        <v>0.0</v>
      </c>
      <c r="L89" s="6">
        <v>0.3118</v>
      </c>
      <c r="M89" s="6">
        <v>0.002</v>
      </c>
      <c r="N89" s="5">
        <v>1.0</v>
      </c>
      <c r="O89" s="5">
        <v>4.0</v>
      </c>
      <c r="P89" s="5">
        <v>0.0</v>
      </c>
      <c r="Q89" s="5">
        <v>0.0</v>
      </c>
    </row>
    <row r="90" ht="15.75" customHeight="1">
      <c r="A90" s="3" t="s">
        <v>97</v>
      </c>
      <c r="B90" s="4">
        <v>0.34900462962962964</v>
      </c>
      <c r="C90" s="4">
        <v>0.033715277777777775</v>
      </c>
      <c r="D90" s="5">
        <v>47.0</v>
      </c>
      <c r="E90" s="6">
        <v>0.6412</v>
      </c>
      <c r="F90" s="6">
        <v>0.0945</v>
      </c>
      <c r="G90" s="6">
        <v>0.0945</v>
      </c>
      <c r="H90" s="6">
        <v>0.0</v>
      </c>
      <c r="I90" s="6">
        <v>0.0464</v>
      </c>
      <c r="J90" s="6">
        <v>0.0021</v>
      </c>
      <c r="K90" s="6">
        <v>0.0</v>
      </c>
      <c r="L90" s="6">
        <v>0.8523</v>
      </c>
      <c r="M90" s="6">
        <v>0.0047</v>
      </c>
      <c r="N90" s="5">
        <v>1.0</v>
      </c>
      <c r="O90" s="5">
        <v>0.0</v>
      </c>
      <c r="P90" s="5">
        <v>0.0</v>
      </c>
      <c r="Q90" s="5">
        <v>0.0</v>
      </c>
    </row>
    <row r="91" ht="15.75" customHeight="1">
      <c r="A91" s="3" t="s">
        <v>98</v>
      </c>
      <c r="B91" s="4">
        <v>0.3337847222222222</v>
      </c>
      <c r="C91" s="4">
        <v>0.21655092592592592</v>
      </c>
      <c r="D91" s="5">
        <v>48.0</v>
      </c>
      <c r="E91" s="6">
        <v>0.7612</v>
      </c>
      <c r="F91" s="6">
        <v>0.6102</v>
      </c>
      <c r="G91" s="6">
        <v>0.6177</v>
      </c>
      <c r="H91" s="6">
        <v>0.002</v>
      </c>
      <c r="I91" s="6">
        <v>0.1943</v>
      </c>
      <c r="J91" s="6">
        <v>0.0291</v>
      </c>
      <c r="K91" s="6">
        <v>0.0</v>
      </c>
      <c r="L91" s="6">
        <v>0.1499</v>
      </c>
      <c r="M91" s="6">
        <v>0.007</v>
      </c>
      <c r="N91" s="5">
        <v>1.0</v>
      </c>
      <c r="O91" s="5">
        <v>5.0</v>
      </c>
      <c r="P91" s="5">
        <v>1.0</v>
      </c>
      <c r="Q91" s="5">
        <v>0.0</v>
      </c>
    </row>
    <row r="92" ht="15.75" customHeight="1">
      <c r="A92" s="3" t="s">
        <v>99</v>
      </c>
      <c r="B92" s="4">
        <v>0.3455902777777778</v>
      </c>
      <c r="C92" s="4">
        <v>0.2011574074074074</v>
      </c>
      <c r="D92" s="5">
        <v>49.0</v>
      </c>
      <c r="E92" s="6">
        <v>0.7717</v>
      </c>
      <c r="F92" s="6">
        <v>0.5126</v>
      </c>
      <c r="G92" s="6">
        <v>0.5371</v>
      </c>
      <c r="H92" s="6">
        <v>0.0</v>
      </c>
      <c r="I92" s="6">
        <v>0.156</v>
      </c>
      <c r="J92" s="6">
        <v>0.045</v>
      </c>
      <c r="K92" s="6">
        <v>0.0</v>
      </c>
      <c r="L92" s="6">
        <v>0.2544</v>
      </c>
      <c r="M92" s="6">
        <v>0.0076</v>
      </c>
      <c r="N92" s="5">
        <v>3.0</v>
      </c>
      <c r="O92" s="5">
        <v>8.0</v>
      </c>
      <c r="P92" s="5">
        <v>0.0</v>
      </c>
      <c r="Q92" s="5">
        <v>1.0</v>
      </c>
    </row>
    <row r="93" ht="15.75" customHeight="1">
      <c r="A93" s="3" t="s">
        <v>100</v>
      </c>
      <c r="B93" s="4">
        <v>0.2114699074074074</v>
      </c>
      <c r="C93" s="4">
        <v>0.14190972222222223</v>
      </c>
      <c r="D93" s="5">
        <v>50.0</v>
      </c>
      <c r="E93" s="6">
        <v>0.706</v>
      </c>
      <c r="F93" s="6">
        <v>0.6243</v>
      </c>
      <c r="G93" s="6">
        <v>0.626</v>
      </c>
      <c r="H93" s="6">
        <v>0.0</v>
      </c>
      <c r="I93" s="6">
        <v>0.2439</v>
      </c>
      <c r="J93" s="6">
        <v>0.0451</v>
      </c>
      <c r="K93" s="6">
        <v>0.0</v>
      </c>
      <c r="L93" s="6">
        <v>0.0803</v>
      </c>
      <c r="M93" s="6">
        <v>0.0048</v>
      </c>
      <c r="N93" s="5">
        <v>1.0</v>
      </c>
      <c r="O93" s="5">
        <v>4.0</v>
      </c>
      <c r="P93" s="5">
        <v>0.0</v>
      </c>
      <c r="Q93" s="5">
        <v>0.0</v>
      </c>
    </row>
    <row r="94" ht="15.75" customHeight="1">
      <c r="A94" s="3" t="s">
        <v>101</v>
      </c>
      <c r="B94" s="4">
        <v>0.3407523148148148</v>
      </c>
      <c r="C94" s="4">
        <v>0.19762731481481483</v>
      </c>
      <c r="D94" s="5">
        <v>51.0</v>
      </c>
      <c r="E94" s="6">
        <v>0.6754</v>
      </c>
      <c r="F94" s="6">
        <v>0.5437</v>
      </c>
      <c r="G94" s="6">
        <v>0.5576</v>
      </c>
      <c r="H94" s="6">
        <v>0.0</v>
      </c>
      <c r="I94" s="6">
        <v>0.2759</v>
      </c>
      <c r="J94" s="6">
        <v>0.0223</v>
      </c>
      <c r="K94" s="6">
        <v>0.0</v>
      </c>
      <c r="L94" s="6">
        <v>0.1416</v>
      </c>
      <c r="M94" s="6">
        <v>0.0025</v>
      </c>
      <c r="N94" s="5">
        <v>2.0</v>
      </c>
      <c r="O94" s="5">
        <v>3.0</v>
      </c>
      <c r="P94" s="5">
        <v>0.0</v>
      </c>
      <c r="Q94" s="5">
        <v>0.0</v>
      </c>
    </row>
    <row r="95" ht="15.75" customHeight="1">
      <c r="A95" s="3" t="s">
        <v>102</v>
      </c>
      <c r="B95" s="4">
        <v>0.34390046296296295</v>
      </c>
      <c r="C95" s="5">
        <v>0.0</v>
      </c>
      <c r="D95" s="5">
        <v>52.0</v>
      </c>
      <c r="E95" s="7"/>
      <c r="F95" s="7"/>
      <c r="G95" s="6">
        <v>0.0</v>
      </c>
      <c r="H95" s="6">
        <v>0.0</v>
      </c>
      <c r="I95" s="6">
        <v>1.0E-4</v>
      </c>
      <c r="J95" s="6">
        <v>0.0</v>
      </c>
      <c r="K95" s="6">
        <v>0.0</v>
      </c>
      <c r="L95" s="6">
        <v>0.9999</v>
      </c>
      <c r="M95" s="6">
        <v>0.0</v>
      </c>
      <c r="N95" s="5">
        <v>0.0</v>
      </c>
      <c r="O95" s="5">
        <v>0.0</v>
      </c>
      <c r="P95" s="5">
        <v>0.0</v>
      </c>
      <c r="Q95" s="5">
        <v>0.0</v>
      </c>
    </row>
    <row r="96" ht="15.75" customHeight="1">
      <c r="A96" s="3" t="s">
        <v>103</v>
      </c>
      <c r="B96" s="4">
        <v>0.33532407407407405</v>
      </c>
      <c r="C96" s="4">
        <v>0.050763888888888886</v>
      </c>
      <c r="D96" s="5">
        <v>53.0</v>
      </c>
      <c r="E96" s="6">
        <v>0.8779</v>
      </c>
      <c r="F96" s="6">
        <v>0.1443</v>
      </c>
      <c r="G96" s="6">
        <v>0.1489</v>
      </c>
      <c r="H96" s="6">
        <v>0.0</v>
      </c>
      <c r="I96" s="6">
        <v>0.0164</v>
      </c>
      <c r="J96" s="6">
        <v>0.0025</v>
      </c>
      <c r="K96" s="6">
        <v>0.0</v>
      </c>
      <c r="L96" s="6">
        <v>0.8278</v>
      </c>
      <c r="M96" s="6">
        <v>0.0044</v>
      </c>
      <c r="N96" s="5">
        <v>1.0</v>
      </c>
      <c r="O96" s="5">
        <v>0.0</v>
      </c>
      <c r="P96" s="5">
        <v>0.0</v>
      </c>
      <c r="Q96" s="5">
        <v>0.0</v>
      </c>
    </row>
    <row r="97" ht="15.75" customHeight="1">
      <c r="A97" s="3" t="s">
        <v>104</v>
      </c>
      <c r="B97" s="4">
        <v>0.3468287037037037</v>
      </c>
      <c r="C97" s="4">
        <v>0.20351851851851852</v>
      </c>
      <c r="D97" s="5">
        <v>54.0</v>
      </c>
      <c r="E97" s="6">
        <v>0.6805</v>
      </c>
      <c r="F97" s="6">
        <v>0.5526</v>
      </c>
      <c r="G97" s="6">
        <v>0.5652</v>
      </c>
      <c r="H97" s="6">
        <v>5.0E-4</v>
      </c>
      <c r="I97" s="6">
        <v>0.2633</v>
      </c>
      <c r="J97" s="6">
        <v>0.0211</v>
      </c>
      <c r="K97" s="6">
        <v>0.0</v>
      </c>
      <c r="L97" s="6">
        <v>0.1477</v>
      </c>
      <c r="M97" s="6">
        <v>0.0022</v>
      </c>
      <c r="N97" s="5">
        <v>4.0</v>
      </c>
      <c r="O97" s="5">
        <v>4.0</v>
      </c>
      <c r="P97" s="5">
        <v>0.0</v>
      </c>
      <c r="Q97" s="5">
        <v>0.0</v>
      </c>
    </row>
    <row r="98" ht="15.75" customHeight="1">
      <c r="A98" s="3" t="s">
        <v>105</v>
      </c>
      <c r="B98" s="4">
        <v>0.334837962962963</v>
      </c>
      <c r="C98" s="4">
        <v>0.06675925925925925</v>
      </c>
      <c r="D98" s="5">
        <v>55.0</v>
      </c>
      <c r="E98" s="6">
        <v>0.7009</v>
      </c>
      <c r="F98" s="6">
        <v>0.1894</v>
      </c>
      <c r="G98" s="6">
        <v>0.1945</v>
      </c>
      <c r="H98" s="6">
        <v>5.0E-4</v>
      </c>
      <c r="I98" s="6">
        <v>0.084</v>
      </c>
      <c r="J98" s="6">
        <v>0.0044</v>
      </c>
      <c r="K98" s="6">
        <v>0.0</v>
      </c>
      <c r="L98" s="6">
        <v>0.716</v>
      </c>
      <c r="M98" s="6">
        <v>7.0E-4</v>
      </c>
      <c r="N98" s="5">
        <v>0.0</v>
      </c>
      <c r="O98" s="5">
        <v>0.0</v>
      </c>
      <c r="P98" s="5">
        <v>0.0</v>
      </c>
      <c r="Q98" s="5">
        <v>0.0</v>
      </c>
    </row>
    <row r="99" ht="15.75" customHeight="1">
      <c r="A99" s="3" t="s">
        <v>106</v>
      </c>
      <c r="B99" s="4">
        <v>0.34770833333333334</v>
      </c>
      <c r="C99" s="4">
        <v>0.1784375</v>
      </c>
      <c r="D99" s="5">
        <v>56.0</v>
      </c>
      <c r="E99" s="6">
        <v>0.6807</v>
      </c>
      <c r="F99" s="6">
        <v>0.4708</v>
      </c>
      <c r="G99" s="6">
        <v>0.4778</v>
      </c>
      <c r="H99" s="6">
        <v>0.0024</v>
      </c>
      <c r="I99" s="6">
        <v>0.2328</v>
      </c>
      <c r="J99" s="6">
        <v>0.033</v>
      </c>
      <c r="K99" s="6">
        <v>0.0</v>
      </c>
      <c r="L99" s="6">
        <v>0.2496</v>
      </c>
      <c r="M99" s="6">
        <v>0.0044</v>
      </c>
      <c r="N99" s="5">
        <v>0.0</v>
      </c>
      <c r="O99" s="5">
        <v>5.0</v>
      </c>
      <c r="P99" s="5">
        <v>1.0</v>
      </c>
      <c r="Q99" s="5">
        <v>1.0</v>
      </c>
    </row>
    <row r="100" ht="15.75" customHeight="1">
      <c r="A100" s="3" t="s">
        <v>107</v>
      </c>
      <c r="B100" s="4">
        <v>0.3338425925925926</v>
      </c>
      <c r="C100" s="4">
        <v>0.19934027777777777</v>
      </c>
      <c r="D100" s="5">
        <v>57.0</v>
      </c>
      <c r="E100" s="6">
        <v>0.698</v>
      </c>
      <c r="F100" s="6">
        <v>0.5386</v>
      </c>
      <c r="G100" s="6">
        <v>0.545</v>
      </c>
      <c r="H100" s="6">
        <v>0.002</v>
      </c>
      <c r="I100" s="6">
        <v>0.2518</v>
      </c>
      <c r="J100" s="6">
        <v>0.0501</v>
      </c>
      <c r="K100" s="6">
        <v>0.0</v>
      </c>
      <c r="L100" s="6">
        <v>0.1482</v>
      </c>
      <c r="M100" s="6">
        <v>0.0029</v>
      </c>
      <c r="N100" s="5">
        <v>0.0</v>
      </c>
      <c r="O100" s="5">
        <v>6.0</v>
      </c>
      <c r="P100" s="5">
        <v>0.0</v>
      </c>
      <c r="Q100" s="5">
        <v>2.0</v>
      </c>
    </row>
    <row r="101" ht="15.75" customHeight="1">
      <c r="A101" s="3" t="s">
        <v>108</v>
      </c>
      <c r="B101" s="4">
        <v>0.3346412037037037</v>
      </c>
      <c r="C101" s="4">
        <v>0.19371527777777778</v>
      </c>
      <c r="D101" s="5">
        <v>58.0</v>
      </c>
      <c r="E101" s="6">
        <v>0.6762</v>
      </c>
      <c r="F101" s="6">
        <v>0.5329</v>
      </c>
      <c r="G101" s="6">
        <v>0.5414</v>
      </c>
      <c r="H101" s="6">
        <v>7.0E-4</v>
      </c>
      <c r="I101" s="6">
        <v>0.2745</v>
      </c>
      <c r="J101" s="6">
        <v>0.0367</v>
      </c>
      <c r="K101" s="6">
        <v>0.0</v>
      </c>
      <c r="L101" s="6">
        <v>0.1442</v>
      </c>
      <c r="M101" s="6">
        <v>0.0024</v>
      </c>
      <c r="N101" s="5">
        <v>3.0</v>
      </c>
      <c r="O101" s="5">
        <v>8.0</v>
      </c>
      <c r="P101" s="5">
        <v>0.0</v>
      </c>
      <c r="Q101" s="5">
        <v>2.0</v>
      </c>
    </row>
    <row r="102" ht="15.75" customHeight="1">
      <c r="A102" s="3" t="s">
        <v>109</v>
      </c>
      <c r="B102" s="4">
        <v>0.24574074074074073</v>
      </c>
      <c r="C102" s="4">
        <v>0.12021990740740741</v>
      </c>
      <c r="D102" s="5">
        <v>59.0</v>
      </c>
      <c r="E102" s="6">
        <v>0.8705</v>
      </c>
      <c r="F102" s="6">
        <v>0.4131</v>
      </c>
      <c r="G102" s="6">
        <v>0.4221</v>
      </c>
      <c r="H102" s="6">
        <v>0.0187</v>
      </c>
      <c r="I102" s="6">
        <v>0.0495</v>
      </c>
      <c r="J102" s="6">
        <v>0.0483</v>
      </c>
      <c r="K102" s="6">
        <v>0.0</v>
      </c>
      <c r="L102" s="6">
        <v>0.457</v>
      </c>
      <c r="M102" s="6">
        <v>0.0043</v>
      </c>
      <c r="N102" s="5">
        <v>0.0</v>
      </c>
      <c r="O102" s="5">
        <v>6.0</v>
      </c>
      <c r="P102" s="5">
        <v>2.0</v>
      </c>
      <c r="Q102" s="5">
        <v>0.0</v>
      </c>
    </row>
    <row r="103" ht="15.75" customHeight="1">
      <c r="A103" s="3" t="s">
        <v>110</v>
      </c>
      <c r="B103" s="4">
        <v>0.3444675925925926</v>
      </c>
      <c r="C103" s="4">
        <v>0.1825462962962963</v>
      </c>
      <c r="D103" s="5">
        <v>60.0</v>
      </c>
      <c r="E103" s="6">
        <v>0.6813</v>
      </c>
      <c r="F103" s="6">
        <v>0.5048</v>
      </c>
      <c r="G103" s="6">
        <v>0.515</v>
      </c>
      <c r="H103" s="6">
        <v>1.0E-4</v>
      </c>
      <c r="I103" s="6">
        <v>0.2442</v>
      </c>
      <c r="J103" s="6">
        <v>0.0148</v>
      </c>
      <c r="K103" s="6">
        <v>0.0</v>
      </c>
      <c r="L103" s="6">
        <v>0.223</v>
      </c>
      <c r="M103" s="6">
        <v>0.0029</v>
      </c>
      <c r="N103" s="5">
        <v>2.0</v>
      </c>
      <c r="O103" s="5">
        <v>1.0</v>
      </c>
      <c r="P103" s="5">
        <v>0.0</v>
      </c>
      <c r="Q103" s="5">
        <v>0.0</v>
      </c>
    </row>
    <row r="104" ht="15.75" customHeight="1">
      <c r="A104" s="3" t="s">
        <v>111</v>
      </c>
      <c r="B104" s="4">
        <v>0.34423611111111113</v>
      </c>
      <c r="C104" s="4">
        <v>0.18436342592592592</v>
      </c>
      <c r="D104" s="5">
        <v>61.0</v>
      </c>
      <c r="E104" s="6">
        <v>0.664</v>
      </c>
      <c r="F104" s="6">
        <v>0.5239</v>
      </c>
      <c r="G104" s="6">
        <v>0.528</v>
      </c>
      <c r="H104" s="6">
        <v>0.0</v>
      </c>
      <c r="I104" s="6">
        <v>0.2661</v>
      </c>
      <c r="J104" s="6">
        <v>0.0076</v>
      </c>
      <c r="K104" s="6">
        <v>0.0</v>
      </c>
      <c r="L104" s="6">
        <v>0.1956</v>
      </c>
      <c r="M104" s="6">
        <v>0.0028</v>
      </c>
      <c r="N104" s="5">
        <v>5.0</v>
      </c>
      <c r="O104" s="5">
        <v>0.0</v>
      </c>
      <c r="P104" s="5">
        <v>0.0</v>
      </c>
      <c r="Q104" s="5">
        <v>0.0</v>
      </c>
    </row>
    <row r="105" ht="15.75" customHeight="1">
      <c r="A105" s="3" t="s">
        <v>112</v>
      </c>
      <c r="B105" s="4">
        <v>0.34479166666666666</v>
      </c>
      <c r="C105" s="4">
        <v>0.10450231481481481</v>
      </c>
      <c r="D105" s="5">
        <v>62.0</v>
      </c>
      <c r="E105" s="6">
        <v>0.794</v>
      </c>
      <c r="F105" s="6">
        <v>0.2544</v>
      </c>
      <c r="G105" s="6">
        <v>0.2771</v>
      </c>
      <c r="H105" s="6">
        <v>0.0</v>
      </c>
      <c r="I105" s="6">
        <v>0.0751</v>
      </c>
      <c r="J105" s="6">
        <v>0.026</v>
      </c>
      <c r="K105" s="6">
        <v>0.0</v>
      </c>
      <c r="L105" s="6">
        <v>0.6202</v>
      </c>
      <c r="M105" s="6">
        <v>0.0016</v>
      </c>
      <c r="N105" s="5">
        <v>1.0</v>
      </c>
      <c r="O105" s="5">
        <v>4.0</v>
      </c>
      <c r="P105" s="5">
        <v>0.0</v>
      </c>
      <c r="Q105" s="5">
        <v>1.0</v>
      </c>
    </row>
    <row r="106" ht="15.75" customHeight="1">
      <c r="A106" s="3" t="s">
        <v>113</v>
      </c>
      <c r="B106" s="4">
        <v>0.33458333333333334</v>
      </c>
      <c r="C106" s="4">
        <v>0.20292824074074073</v>
      </c>
      <c r="D106" s="5">
        <v>63.0</v>
      </c>
      <c r="E106" s="6">
        <v>0.7132</v>
      </c>
      <c r="F106" s="6">
        <v>0.5552</v>
      </c>
      <c r="G106" s="6">
        <v>0.5632</v>
      </c>
      <c r="H106" s="6">
        <v>0.0</v>
      </c>
      <c r="I106" s="6">
        <v>0.2394</v>
      </c>
      <c r="J106" s="6">
        <v>0.0433</v>
      </c>
      <c r="K106" s="6">
        <v>0.0</v>
      </c>
      <c r="L106" s="6">
        <v>0.1522</v>
      </c>
      <c r="M106" s="6">
        <v>0.0019</v>
      </c>
      <c r="N106" s="5">
        <v>3.0</v>
      </c>
      <c r="O106" s="5">
        <v>5.0</v>
      </c>
      <c r="P106" s="5">
        <v>0.0</v>
      </c>
      <c r="Q106" s="5">
        <v>1.0</v>
      </c>
    </row>
    <row r="107" ht="15.75" customHeight="1">
      <c r="A107" s="3" t="s">
        <v>114</v>
      </c>
      <c r="B107" s="4">
        <v>0.34524305555555557</v>
      </c>
      <c r="C107" s="7"/>
      <c r="D107" s="5">
        <v>64.0</v>
      </c>
      <c r="E107" s="7"/>
      <c r="F107" s="7"/>
      <c r="G107" s="6">
        <v>0.0</v>
      </c>
      <c r="H107" s="6">
        <v>0.0</v>
      </c>
      <c r="I107" s="6">
        <v>3.0E-4</v>
      </c>
      <c r="J107" s="6">
        <v>0.0</v>
      </c>
      <c r="K107" s="6">
        <v>0.0</v>
      </c>
      <c r="L107" s="6">
        <v>0.9997</v>
      </c>
      <c r="M107" s="6">
        <v>0.0</v>
      </c>
      <c r="N107" s="5">
        <v>0.0</v>
      </c>
      <c r="O107" s="5">
        <v>0.0</v>
      </c>
      <c r="P107" s="5">
        <v>0.0</v>
      </c>
      <c r="Q107" s="5">
        <v>0.0</v>
      </c>
    </row>
    <row r="108" ht="15.75" customHeight="1">
      <c r="A108" s="3" t="s">
        <v>115</v>
      </c>
      <c r="B108" s="4">
        <v>0.34424768518518517</v>
      </c>
      <c r="C108" s="4">
        <v>0.17256944444444444</v>
      </c>
      <c r="D108" s="5">
        <v>65.0</v>
      </c>
      <c r="E108" s="6">
        <v>0.6797</v>
      </c>
      <c r="F108" s="6">
        <v>0.4771</v>
      </c>
      <c r="G108" s="6">
        <v>0.4797</v>
      </c>
      <c r="H108" s="6">
        <v>0.0011</v>
      </c>
      <c r="I108" s="6">
        <v>0.2333</v>
      </c>
      <c r="J108" s="6">
        <v>0.0205</v>
      </c>
      <c r="K108" s="6">
        <v>0.0</v>
      </c>
      <c r="L108" s="6">
        <v>0.2628</v>
      </c>
      <c r="M108" s="6">
        <v>0.0026</v>
      </c>
      <c r="N108" s="5">
        <v>3.0</v>
      </c>
      <c r="O108" s="5">
        <v>3.0</v>
      </c>
      <c r="P108" s="5">
        <v>1.0</v>
      </c>
      <c r="Q108" s="5">
        <v>0.0</v>
      </c>
    </row>
    <row r="109" ht="15.75" customHeight="1">
      <c r="A109" s="3" t="s">
        <v>116</v>
      </c>
      <c r="B109" s="4">
        <v>0.35488425925925926</v>
      </c>
      <c r="C109" s="4">
        <v>0.2330787037037037</v>
      </c>
      <c r="D109" s="5">
        <v>66.0</v>
      </c>
      <c r="E109" s="6">
        <v>0.7335</v>
      </c>
      <c r="F109" s="6">
        <v>0.6192</v>
      </c>
      <c r="G109" s="6">
        <v>0.6273</v>
      </c>
      <c r="H109" s="6">
        <v>9.0E-4</v>
      </c>
      <c r="I109" s="6">
        <v>0.2326</v>
      </c>
      <c r="J109" s="6">
        <v>0.0286</v>
      </c>
      <c r="K109" s="6">
        <v>0.0</v>
      </c>
      <c r="L109" s="6">
        <v>0.1052</v>
      </c>
      <c r="M109" s="6">
        <v>0.0054</v>
      </c>
      <c r="N109" s="5">
        <v>4.0</v>
      </c>
      <c r="O109" s="5">
        <v>4.0</v>
      </c>
      <c r="P109" s="5">
        <v>0.0</v>
      </c>
      <c r="Q109" s="5">
        <v>1.0</v>
      </c>
    </row>
    <row r="110" ht="15.75" customHeight="1">
      <c r="A110" s="3" t="s">
        <v>117</v>
      </c>
      <c r="B110" s="4">
        <v>0.33346064814814813</v>
      </c>
      <c r="C110" s="4">
        <v>0.2029050925925926</v>
      </c>
      <c r="D110" s="5">
        <v>67.0</v>
      </c>
      <c r="E110" s="6">
        <v>0.7108</v>
      </c>
      <c r="F110" s="6">
        <v>0.5531</v>
      </c>
      <c r="G110" s="6">
        <v>0.5646</v>
      </c>
      <c r="H110" s="6">
        <v>0.0</v>
      </c>
      <c r="I110" s="6">
        <v>0.2438</v>
      </c>
      <c r="J110" s="6">
        <v>0.0439</v>
      </c>
      <c r="K110" s="6">
        <v>0.0</v>
      </c>
      <c r="L110" s="6">
        <v>0.1445</v>
      </c>
      <c r="M110" s="6">
        <v>0.0032</v>
      </c>
      <c r="N110" s="5">
        <v>1.0</v>
      </c>
      <c r="O110" s="5">
        <v>7.0</v>
      </c>
      <c r="P110" s="5">
        <v>0.0</v>
      </c>
      <c r="Q110" s="5">
        <v>0.0</v>
      </c>
    </row>
    <row r="111" ht="15.75" customHeight="1">
      <c r="A111" s="3" t="s">
        <v>118</v>
      </c>
      <c r="B111" s="4">
        <v>0.34430555555555553</v>
      </c>
      <c r="C111" s="4">
        <v>0.20876157407407409</v>
      </c>
      <c r="D111" s="5">
        <v>68.0</v>
      </c>
      <c r="E111" s="6">
        <v>0.7035</v>
      </c>
      <c r="F111" s="6">
        <v>0.562</v>
      </c>
      <c r="G111" s="6">
        <v>0.566</v>
      </c>
      <c r="H111" s="6">
        <v>1.0E-4</v>
      </c>
      <c r="I111" s="6">
        <v>0.2525</v>
      </c>
      <c r="J111" s="6">
        <v>0.0402</v>
      </c>
      <c r="K111" s="6">
        <v>0.0</v>
      </c>
      <c r="L111" s="6">
        <v>0.1385</v>
      </c>
      <c r="M111" s="6">
        <v>0.0027</v>
      </c>
      <c r="N111" s="5">
        <v>3.0</v>
      </c>
      <c r="O111" s="5">
        <v>6.0</v>
      </c>
      <c r="P111" s="5">
        <v>0.0</v>
      </c>
      <c r="Q111" s="5">
        <v>0.0</v>
      </c>
    </row>
    <row r="112" ht="15.75" customHeight="1">
      <c r="A112" s="3" t="s">
        <v>119</v>
      </c>
      <c r="B112" s="4">
        <v>0.3443981481481482</v>
      </c>
      <c r="C112" s="4">
        <v>0.19284722222222223</v>
      </c>
      <c r="D112" s="5">
        <v>69.0</v>
      </c>
      <c r="E112" s="6">
        <v>0.7349</v>
      </c>
      <c r="F112" s="6">
        <v>0.4878</v>
      </c>
      <c r="G112" s="6">
        <v>0.5047</v>
      </c>
      <c r="H112" s="6">
        <v>0.0078</v>
      </c>
      <c r="I112" s="6">
        <v>0.1961</v>
      </c>
      <c r="J112" s="6">
        <v>0.0475</v>
      </c>
      <c r="K112" s="6">
        <v>0.0</v>
      </c>
      <c r="L112" s="6">
        <v>0.2409</v>
      </c>
      <c r="M112" s="6">
        <v>0.003</v>
      </c>
      <c r="N112" s="5">
        <v>2.0</v>
      </c>
      <c r="O112" s="5">
        <v>6.0</v>
      </c>
      <c r="P112" s="5">
        <v>1.0</v>
      </c>
      <c r="Q112" s="5">
        <v>2.0</v>
      </c>
    </row>
    <row r="113" ht="15.75" customHeight="1">
      <c r="A113" s="3" t="s">
        <v>120</v>
      </c>
      <c r="B113" s="4">
        <v>0.34435185185185185</v>
      </c>
      <c r="C113" s="4">
        <v>0.20849537037037036</v>
      </c>
      <c r="D113" s="5">
        <v>70.0</v>
      </c>
      <c r="E113" s="6">
        <v>0.7033</v>
      </c>
      <c r="F113" s="6">
        <v>0.5541</v>
      </c>
      <c r="G113" s="6">
        <v>0.5633</v>
      </c>
      <c r="H113" s="6">
        <v>0.0011</v>
      </c>
      <c r="I113" s="6">
        <v>0.2459</v>
      </c>
      <c r="J113" s="6">
        <v>0.041</v>
      </c>
      <c r="K113" s="6">
        <v>0.0</v>
      </c>
      <c r="L113" s="6">
        <v>0.1406</v>
      </c>
      <c r="M113" s="6">
        <v>0.008</v>
      </c>
      <c r="N113" s="5">
        <v>3.0</v>
      </c>
      <c r="O113" s="5">
        <v>7.0</v>
      </c>
      <c r="P113" s="5">
        <v>1.0</v>
      </c>
      <c r="Q113" s="5">
        <v>0.0</v>
      </c>
    </row>
    <row r="114" ht="15.75" customHeight="1">
      <c r="A114" s="3" t="s">
        <v>121</v>
      </c>
      <c r="B114" s="4">
        <v>0.33491898148148147</v>
      </c>
      <c r="C114" s="4">
        <v>0.21258101851851852</v>
      </c>
      <c r="D114" s="5">
        <v>71.0</v>
      </c>
      <c r="E114" s="6">
        <v>0.7422</v>
      </c>
      <c r="F114" s="6">
        <v>0.5865</v>
      </c>
      <c r="G114" s="6">
        <v>0.5962</v>
      </c>
      <c r="H114" s="6">
        <v>1.0E-4</v>
      </c>
      <c r="I114" s="6">
        <v>0.2175</v>
      </c>
      <c r="J114" s="6">
        <v>0.0385</v>
      </c>
      <c r="K114" s="6">
        <v>0.0</v>
      </c>
      <c r="L114" s="6">
        <v>0.1457</v>
      </c>
      <c r="M114" s="6">
        <v>0.0021</v>
      </c>
      <c r="N114" s="5">
        <v>2.0</v>
      </c>
      <c r="O114" s="5">
        <v>6.0</v>
      </c>
      <c r="P114" s="5">
        <v>0.0</v>
      </c>
      <c r="Q114" s="5">
        <v>0.0</v>
      </c>
    </row>
    <row r="115" ht="15.75" customHeight="1">
      <c r="A115" s="3" t="s">
        <v>122</v>
      </c>
      <c r="B115" s="4">
        <v>0.3444212962962963</v>
      </c>
      <c r="C115" s="4">
        <v>0.22203703703703703</v>
      </c>
      <c r="D115" s="5">
        <v>72.0</v>
      </c>
      <c r="E115" s="6">
        <v>0.7573</v>
      </c>
      <c r="F115" s="6">
        <v>0.5817</v>
      </c>
      <c r="G115" s="6">
        <v>0.5916</v>
      </c>
      <c r="H115" s="6">
        <v>3.0E-4</v>
      </c>
      <c r="I115" s="6">
        <v>0.2036</v>
      </c>
      <c r="J115" s="6">
        <v>0.0528</v>
      </c>
      <c r="K115" s="6">
        <v>0.0</v>
      </c>
      <c r="L115" s="6">
        <v>0.1491</v>
      </c>
      <c r="M115" s="6">
        <v>0.0027</v>
      </c>
      <c r="N115" s="5">
        <v>3.0</v>
      </c>
      <c r="O115" s="5">
        <v>9.0</v>
      </c>
      <c r="P115" s="5">
        <v>0.0</v>
      </c>
      <c r="Q115" s="5">
        <v>4.0</v>
      </c>
    </row>
    <row r="116" ht="15.75" customHeight="1">
      <c r="A116" s="3" t="s">
        <v>123</v>
      </c>
      <c r="B116" s="4">
        <v>0.3337037037037037</v>
      </c>
      <c r="C116" s="4">
        <v>0.21053240740740742</v>
      </c>
      <c r="D116" s="5">
        <v>73.0</v>
      </c>
      <c r="E116" s="6">
        <v>0.7375</v>
      </c>
      <c r="F116" s="6">
        <v>0.5907</v>
      </c>
      <c r="G116" s="6">
        <v>0.6048</v>
      </c>
      <c r="H116" s="6">
        <v>1.0E-4</v>
      </c>
      <c r="I116" s="6">
        <v>0.2189</v>
      </c>
      <c r="J116" s="6">
        <v>0.026</v>
      </c>
      <c r="K116" s="6">
        <v>0.0</v>
      </c>
      <c r="L116" s="6">
        <v>0.1453</v>
      </c>
      <c r="M116" s="6">
        <v>0.005</v>
      </c>
      <c r="N116" s="5">
        <v>2.0</v>
      </c>
      <c r="O116" s="5">
        <v>4.0</v>
      </c>
      <c r="P116" s="5">
        <v>0.0</v>
      </c>
      <c r="Q116" s="5">
        <v>0.0</v>
      </c>
    </row>
    <row r="117" ht="15.75" customHeight="1">
      <c r="A117" s="3" t="s">
        <v>124</v>
      </c>
      <c r="B117" s="4">
        <v>0.3451851851851852</v>
      </c>
      <c r="C117" s="4">
        <v>0.21524305555555556</v>
      </c>
      <c r="D117" s="5">
        <v>74.0</v>
      </c>
      <c r="E117" s="6">
        <v>0.7264</v>
      </c>
      <c r="F117" s="6">
        <v>0.5864</v>
      </c>
      <c r="G117" s="6">
        <v>0.5872</v>
      </c>
      <c r="H117" s="6">
        <v>0.0015</v>
      </c>
      <c r="I117" s="6">
        <v>0.2323</v>
      </c>
      <c r="J117" s="6">
        <v>0.0349</v>
      </c>
      <c r="K117" s="6">
        <v>0.0</v>
      </c>
      <c r="L117" s="6">
        <v>0.1428</v>
      </c>
      <c r="M117" s="6">
        <v>0.0014</v>
      </c>
      <c r="N117" s="5">
        <v>4.0</v>
      </c>
      <c r="O117" s="5">
        <v>4.0</v>
      </c>
      <c r="P117" s="5">
        <v>1.0</v>
      </c>
      <c r="Q117" s="5">
        <v>0.0</v>
      </c>
    </row>
    <row r="118" ht="15.75" customHeight="1">
      <c r="A118" s="3" t="s">
        <v>125</v>
      </c>
      <c r="B118" s="4">
        <v>0.3354050925925926</v>
      </c>
      <c r="C118" s="4">
        <v>0.19744212962962962</v>
      </c>
      <c r="D118" s="5">
        <v>75.0</v>
      </c>
      <c r="E118" s="6">
        <v>0.6883</v>
      </c>
      <c r="F118" s="6">
        <v>0.5465</v>
      </c>
      <c r="G118" s="6">
        <v>0.5496</v>
      </c>
      <c r="H118" s="6">
        <v>5.0E-4</v>
      </c>
      <c r="I118" s="6">
        <v>0.2607</v>
      </c>
      <c r="J118" s="6">
        <v>0.0386</v>
      </c>
      <c r="K118" s="6">
        <v>0.0</v>
      </c>
      <c r="L118" s="6">
        <v>0.1491</v>
      </c>
      <c r="M118" s="6">
        <v>0.0016</v>
      </c>
      <c r="N118" s="5">
        <v>2.0</v>
      </c>
      <c r="O118" s="5">
        <v>6.0</v>
      </c>
      <c r="P118" s="5">
        <v>0.0</v>
      </c>
      <c r="Q118" s="5">
        <v>2.0</v>
      </c>
    </row>
    <row r="119" ht="15.75" customHeight="1">
      <c r="A119" s="3" t="s">
        <v>126</v>
      </c>
      <c r="B119" s="4">
        <v>0.3362731481481481</v>
      </c>
      <c r="C119" s="4">
        <v>0.18991898148148148</v>
      </c>
      <c r="D119" s="5">
        <v>76.0</v>
      </c>
      <c r="E119" s="6">
        <v>0.6967</v>
      </c>
      <c r="F119" s="6">
        <v>0.5324</v>
      </c>
      <c r="G119" s="6">
        <v>0.5559</v>
      </c>
      <c r="H119" s="6">
        <v>1.0E-4</v>
      </c>
      <c r="I119" s="6">
        <v>0.242</v>
      </c>
      <c r="J119" s="6">
        <v>0.0088</v>
      </c>
      <c r="K119" s="6">
        <v>0.0</v>
      </c>
      <c r="L119" s="6">
        <v>0.1913</v>
      </c>
      <c r="M119" s="6">
        <v>0.002</v>
      </c>
      <c r="N119" s="5">
        <v>1.0</v>
      </c>
      <c r="O119" s="5">
        <v>0.0</v>
      </c>
      <c r="P119" s="5">
        <v>0.0</v>
      </c>
      <c r="Q119" s="5">
        <v>0.0</v>
      </c>
    </row>
    <row r="120" ht="15.75" customHeight="1">
      <c r="A120" s="3" t="s">
        <v>127</v>
      </c>
      <c r="B120" s="4">
        <v>0.33471064814814816</v>
      </c>
      <c r="C120" s="4">
        <v>0.18868055555555555</v>
      </c>
      <c r="D120" s="5">
        <v>77.0</v>
      </c>
      <c r="E120" s="6">
        <v>0.7103</v>
      </c>
      <c r="F120" s="6">
        <v>0.4702</v>
      </c>
      <c r="G120" s="6">
        <v>0.4856</v>
      </c>
      <c r="H120" s="6">
        <v>0.0195</v>
      </c>
      <c r="I120" s="6">
        <v>0.2098</v>
      </c>
      <c r="J120" s="6">
        <v>0.0582</v>
      </c>
      <c r="K120" s="6">
        <v>0.0</v>
      </c>
      <c r="L120" s="6">
        <v>0.2191</v>
      </c>
      <c r="M120" s="6">
        <v>0.0078</v>
      </c>
      <c r="N120" s="5">
        <v>1.0</v>
      </c>
      <c r="O120" s="5">
        <v>7.0</v>
      </c>
      <c r="P120" s="5">
        <v>3.0</v>
      </c>
      <c r="Q120" s="5">
        <v>2.0</v>
      </c>
    </row>
    <row r="121" ht="15.75" customHeight="1">
      <c r="A121" s="3" t="s">
        <v>128</v>
      </c>
      <c r="B121" s="4">
        <v>0.3397453703703704</v>
      </c>
      <c r="C121" s="4">
        <v>0.20261574074074074</v>
      </c>
      <c r="D121" s="5">
        <v>78.0</v>
      </c>
      <c r="E121" s="6">
        <v>0.6922</v>
      </c>
      <c r="F121" s="6">
        <v>0.5463</v>
      </c>
      <c r="G121" s="6">
        <v>0.5685</v>
      </c>
      <c r="H121" s="6">
        <v>0.0</v>
      </c>
      <c r="I121" s="6">
        <v>0.2596</v>
      </c>
      <c r="J121" s="6">
        <v>0.0279</v>
      </c>
      <c r="K121" s="6">
        <v>0.0</v>
      </c>
      <c r="L121" s="6">
        <v>0.1406</v>
      </c>
      <c r="M121" s="6">
        <v>0.0034</v>
      </c>
      <c r="N121" s="5">
        <v>0.0</v>
      </c>
      <c r="O121" s="5">
        <v>2.0</v>
      </c>
      <c r="P121" s="5">
        <v>0.0</v>
      </c>
      <c r="Q121" s="5">
        <v>0.0</v>
      </c>
    </row>
    <row r="122" ht="15.75" customHeight="1">
      <c r="A122" s="3" t="s">
        <v>129</v>
      </c>
      <c r="B122" s="4">
        <v>0.3455787037037037</v>
      </c>
      <c r="C122" s="4">
        <v>0.14315972222222223</v>
      </c>
      <c r="D122" s="5">
        <v>79.0</v>
      </c>
      <c r="E122" s="6">
        <v>0.7449</v>
      </c>
      <c r="F122" s="6">
        <v>0.3882</v>
      </c>
      <c r="G122" s="6">
        <v>0.3891</v>
      </c>
      <c r="H122" s="6">
        <v>0.0</v>
      </c>
      <c r="I122" s="6">
        <v>0.1361</v>
      </c>
      <c r="J122" s="6">
        <v>0.0251</v>
      </c>
      <c r="K122" s="6">
        <v>0.0</v>
      </c>
      <c r="L122" s="6">
        <v>0.4483</v>
      </c>
      <c r="M122" s="6">
        <v>0.0013</v>
      </c>
      <c r="N122" s="5">
        <v>2.0</v>
      </c>
      <c r="O122" s="5">
        <v>3.0</v>
      </c>
      <c r="P122" s="5">
        <v>0.0</v>
      </c>
      <c r="Q122" s="5">
        <v>0.0</v>
      </c>
    </row>
    <row r="123" ht="15.75" customHeight="1">
      <c r="A123" s="3" t="s">
        <v>130</v>
      </c>
      <c r="B123" s="4">
        <v>0.33189814814814816</v>
      </c>
      <c r="C123" s="4">
        <v>0.1439236111111111</v>
      </c>
      <c r="D123" s="5">
        <v>80.0</v>
      </c>
      <c r="E123" s="6">
        <v>0.7315</v>
      </c>
      <c r="F123" s="6">
        <v>0.4028</v>
      </c>
      <c r="G123" s="6">
        <v>0.414</v>
      </c>
      <c r="H123" s="6">
        <v>2.0E-4</v>
      </c>
      <c r="I123" s="6">
        <v>0.1539</v>
      </c>
      <c r="J123" s="6">
        <v>0.0194</v>
      </c>
      <c r="K123" s="6">
        <v>0.0</v>
      </c>
      <c r="L123" s="6">
        <v>0.4082</v>
      </c>
      <c r="M123" s="6">
        <v>0.0043</v>
      </c>
      <c r="N123" s="5">
        <v>1.0</v>
      </c>
      <c r="O123" s="5">
        <v>1.0</v>
      </c>
      <c r="P123" s="5">
        <v>0.0</v>
      </c>
      <c r="Q123" s="5">
        <v>0.0</v>
      </c>
    </row>
    <row r="124" ht="15.75" customHeight="1">
      <c r="A124" s="3" t="s">
        <v>131</v>
      </c>
      <c r="B124" s="4">
        <v>0.34369212962962964</v>
      </c>
      <c r="C124" s="4">
        <v>0.22164351851851852</v>
      </c>
      <c r="D124" s="5">
        <v>81.0</v>
      </c>
      <c r="E124" s="6">
        <v>0.7492</v>
      </c>
      <c r="F124" s="6">
        <v>0.5435</v>
      </c>
      <c r="G124" s="6">
        <v>0.576</v>
      </c>
      <c r="H124" s="6">
        <v>1.0E-4</v>
      </c>
      <c r="I124" s="6">
        <v>0.2088</v>
      </c>
      <c r="J124" s="6">
        <v>0.0689</v>
      </c>
      <c r="K124" s="6">
        <v>0.0</v>
      </c>
      <c r="L124" s="6">
        <v>0.1414</v>
      </c>
      <c r="M124" s="6">
        <v>0.0049</v>
      </c>
      <c r="N124" s="5">
        <v>1.0</v>
      </c>
      <c r="O124" s="5">
        <v>10.0</v>
      </c>
      <c r="P124" s="5">
        <v>0.0</v>
      </c>
      <c r="Q124" s="5">
        <v>0.0</v>
      </c>
    </row>
    <row r="125" ht="15.75" customHeight="1">
      <c r="A125" s="3" t="s">
        <v>132</v>
      </c>
      <c r="B125" s="4">
        <v>0.3548263888888889</v>
      </c>
      <c r="C125" s="4">
        <v>0.15355324074074075</v>
      </c>
      <c r="D125" s="5">
        <v>82.0</v>
      </c>
      <c r="E125" s="6">
        <v>0.4811</v>
      </c>
      <c r="F125" s="6">
        <v>0.2837</v>
      </c>
      <c r="G125" s="6">
        <v>0.3105</v>
      </c>
      <c r="H125" s="6">
        <v>0.002</v>
      </c>
      <c r="I125" s="6">
        <v>0.4461</v>
      </c>
      <c r="J125" s="6">
        <v>0.1203</v>
      </c>
      <c r="K125" s="6">
        <v>0.0</v>
      </c>
      <c r="L125" s="6">
        <v>0.1089</v>
      </c>
      <c r="M125" s="6">
        <v>0.0122</v>
      </c>
      <c r="N125" s="5">
        <v>0.0</v>
      </c>
      <c r="O125" s="5">
        <v>13.0</v>
      </c>
      <c r="P125" s="5">
        <v>0.0</v>
      </c>
      <c r="Q125" s="5">
        <v>2.0</v>
      </c>
    </row>
    <row r="126" ht="15.75" customHeight="1">
      <c r="A126" s="3" t="s">
        <v>133</v>
      </c>
      <c r="B126" s="4">
        <v>0.3677546296296296</v>
      </c>
      <c r="C126" s="4">
        <v>0.21557870370370372</v>
      </c>
      <c r="D126" s="5">
        <v>83.0</v>
      </c>
      <c r="E126" s="6">
        <v>0.7235</v>
      </c>
      <c r="F126" s="6">
        <v>0.562</v>
      </c>
      <c r="G126" s="6">
        <v>0.5645</v>
      </c>
      <c r="H126" s="6">
        <v>0.0029</v>
      </c>
      <c r="I126" s="6">
        <v>0.2174</v>
      </c>
      <c r="J126" s="6">
        <v>0.0188</v>
      </c>
      <c r="K126" s="6">
        <v>0.0</v>
      </c>
      <c r="L126" s="6">
        <v>0.1917</v>
      </c>
      <c r="M126" s="6">
        <v>0.0048</v>
      </c>
      <c r="N126" s="5">
        <v>1.0</v>
      </c>
      <c r="O126" s="5">
        <v>2.0</v>
      </c>
      <c r="P126" s="5">
        <v>1.0</v>
      </c>
      <c r="Q126" s="5">
        <v>0.0</v>
      </c>
    </row>
    <row r="127" ht="15.75" customHeight="1">
      <c r="A127" s="3" t="s">
        <v>134</v>
      </c>
      <c r="B127" s="4">
        <v>0.35119212962962965</v>
      </c>
      <c r="C127" s="4">
        <v>0.15380787037037036</v>
      </c>
      <c r="D127" s="5">
        <v>84.0</v>
      </c>
      <c r="E127" s="6">
        <v>0.7312</v>
      </c>
      <c r="F127" s="6">
        <v>0.4033</v>
      </c>
      <c r="G127" s="6">
        <v>0.4063</v>
      </c>
      <c r="H127" s="6">
        <v>0.0</v>
      </c>
      <c r="I127" s="6">
        <v>0.1577</v>
      </c>
      <c r="J127" s="6">
        <v>0.0316</v>
      </c>
      <c r="K127" s="6">
        <v>0.0</v>
      </c>
      <c r="L127" s="6">
        <v>0.403</v>
      </c>
      <c r="M127" s="6">
        <v>0.0013</v>
      </c>
      <c r="N127" s="5">
        <v>0.0</v>
      </c>
      <c r="O127" s="5">
        <v>5.0</v>
      </c>
      <c r="P127" s="5">
        <v>0.0</v>
      </c>
      <c r="Q127" s="5">
        <v>0.0</v>
      </c>
    </row>
    <row r="128" ht="15.75" customHeight="1">
      <c r="A128" s="3" t="s">
        <v>135</v>
      </c>
      <c r="B128" s="4">
        <v>0.3414351851851852</v>
      </c>
      <c r="C128" s="4">
        <v>0.1754513888888889</v>
      </c>
      <c r="D128" s="5">
        <v>85.0</v>
      </c>
      <c r="E128" s="6">
        <v>0.7105</v>
      </c>
      <c r="F128" s="6">
        <v>0.438</v>
      </c>
      <c r="G128" s="6">
        <v>0.4664</v>
      </c>
      <c r="H128" s="6">
        <v>0.0065</v>
      </c>
      <c r="I128" s="6">
        <v>0.2018</v>
      </c>
      <c r="J128" s="6">
        <v>0.0409</v>
      </c>
      <c r="K128" s="6">
        <v>0.0</v>
      </c>
      <c r="L128" s="6">
        <v>0.2803</v>
      </c>
      <c r="M128" s="6">
        <v>0.004</v>
      </c>
      <c r="N128" s="5">
        <v>0.0</v>
      </c>
      <c r="O128" s="5">
        <v>6.0</v>
      </c>
      <c r="P128" s="5">
        <v>1.0</v>
      </c>
      <c r="Q128" s="5">
        <v>1.0</v>
      </c>
    </row>
    <row r="129" ht="15.75" customHeight="1">
      <c r="A129" s="3" t="s">
        <v>136</v>
      </c>
      <c r="B129" s="4">
        <v>0.34533564814814816</v>
      </c>
      <c r="C129" s="4">
        <v>0.20476851851851852</v>
      </c>
      <c r="D129" s="5">
        <v>86.0</v>
      </c>
      <c r="E129" s="6">
        <v>0.6889</v>
      </c>
      <c r="F129" s="6">
        <v>0.5558</v>
      </c>
      <c r="G129" s="6">
        <v>0.5597</v>
      </c>
      <c r="H129" s="6">
        <v>6.0E-4</v>
      </c>
      <c r="I129" s="6">
        <v>0.2447</v>
      </c>
      <c r="J129" s="6">
        <v>0.0326</v>
      </c>
      <c r="K129" s="6">
        <v>0.0</v>
      </c>
      <c r="L129" s="6">
        <v>0.1599</v>
      </c>
      <c r="M129" s="6">
        <v>0.0024</v>
      </c>
      <c r="N129" s="5">
        <v>4.0</v>
      </c>
      <c r="O129" s="5">
        <v>4.0</v>
      </c>
      <c r="P129" s="5">
        <v>0.0</v>
      </c>
      <c r="Q129" s="5">
        <v>0.0</v>
      </c>
    </row>
    <row r="130" ht="15.75" customHeight="1">
      <c r="A130" s="3" t="s">
        <v>137</v>
      </c>
      <c r="B130" s="4">
        <v>0.3441666666666667</v>
      </c>
      <c r="C130" s="4">
        <v>0.12054398148148149</v>
      </c>
      <c r="D130" s="5">
        <v>87.0</v>
      </c>
      <c r="E130" s="6">
        <v>0.7814</v>
      </c>
      <c r="F130" s="6">
        <v>0.326</v>
      </c>
      <c r="G130" s="6">
        <v>0.3432</v>
      </c>
      <c r="H130" s="6">
        <v>0.001</v>
      </c>
      <c r="I130" s="6">
        <v>0.0878</v>
      </c>
      <c r="J130" s="6">
        <v>0.0061</v>
      </c>
      <c r="K130" s="6">
        <v>0.0</v>
      </c>
      <c r="L130" s="6">
        <v>0.5561</v>
      </c>
      <c r="M130" s="6">
        <v>0.0059</v>
      </c>
      <c r="N130" s="5">
        <v>0.0</v>
      </c>
      <c r="O130" s="5">
        <v>0.0</v>
      </c>
      <c r="P130" s="5">
        <v>0.0</v>
      </c>
      <c r="Q130" s="5">
        <v>0.0</v>
      </c>
    </row>
    <row r="131" ht="15.75" customHeight="1">
      <c r="A131" s="3" t="s">
        <v>138</v>
      </c>
      <c r="B131" s="4">
        <v>0.33975694444444443</v>
      </c>
      <c r="C131" s="4">
        <v>0.21278935185185185</v>
      </c>
      <c r="D131" s="5">
        <v>88.0</v>
      </c>
      <c r="E131" s="6">
        <v>0.7303</v>
      </c>
      <c r="F131" s="6">
        <v>0.574</v>
      </c>
      <c r="G131" s="6">
        <v>0.5829</v>
      </c>
      <c r="H131" s="6">
        <v>0.0</v>
      </c>
      <c r="I131" s="6">
        <v>0.229</v>
      </c>
      <c r="J131" s="6">
        <v>0.0434</v>
      </c>
      <c r="K131" s="6">
        <v>0.0</v>
      </c>
      <c r="L131" s="6">
        <v>0.1428</v>
      </c>
      <c r="M131" s="6">
        <v>0.0019</v>
      </c>
      <c r="N131" s="5">
        <v>4.0</v>
      </c>
      <c r="O131" s="5">
        <v>4.0</v>
      </c>
      <c r="P131" s="5">
        <v>0.0</v>
      </c>
      <c r="Q131" s="5">
        <v>2.0</v>
      </c>
    </row>
    <row r="132" ht="15.75" customHeight="1">
      <c r="A132" s="3" t="s">
        <v>139</v>
      </c>
      <c r="B132" s="4">
        <v>0.33380787037037035</v>
      </c>
      <c r="C132" s="4">
        <v>0.1744212962962963</v>
      </c>
      <c r="D132" s="5">
        <v>89.0</v>
      </c>
      <c r="E132" s="6">
        <v>0.6906</v>
      </c>
      <c r="F132" s="6">
        <v>0.4536</v>
      </c>
      <c r="G132" s="6">
        <v>0.4835</v>
      </c>
      <c r="H132" s="6">
        <v>0.0083</v>
      </c>
      <c r="I132" s="6">
        <v>0.2302</v>
      </c>
      <c r="J132" s="6">
        <v>0.0307</v>
      </c>
      <c r="K132" s="6">
        <v>0.0</v>
      </c>
      <c r="L132" s="6">
        <v>0.2439</v>
      </c>
      <c r="M132" s="6">
        <v>0.0033</v>
      </c>
      <c r="N132" s="5">
        <v>1.0</v>
      </c>
      <c r="O132" s="5">
        <v>6.0</v>
      </c>
      <c r="P132" s="5">
        <v>1.0</v>
      </c>
      <c r="Q132" s="5">
        <v>0.0</v>
      </c>
    </row>
    <row r="133" ht="15.75" customHeight="1">
      <c r="A133" s="3" t="s">
        <v>140</v>
      </c>
      <c r="B133" s="4">
        <v>0.34012731481481484</v>
      </c>
      <c r="C133" s="4">
        <v>0.11028935185185185</v>
      </c>
      <c r="D133" s="5">
        <v>90.0</v>
      </c>
      <c r="E133" s="6">
        <v>0.7393</v>
      </c>
      <c r="F133" s="6">
        <v>0.2969</v>
      </c>
      <c r="G133" s="6">
        <v>0.3016</v>
      </c>
      <c r="H133" s="6">
        <v>0.0</v>
      </c>
      <c r="I133" s="6">
        <v>0.091</v>
      </c>
      <c r="J133" s="6">
        <v>0.0227</v>
      </c>
      <c r="K133" s="6">
        <v>0.0</v>
      </c>
      <c r="L133" s="6">
        <v>0.5642</v>
      </c>
      <c r="M133" s="6">
        <v>0.0206</v>
      </c>
      <c r="N133" s="5">
        <v>1.0</v>
      </c>
      <c r="O133" s="5">
        <v>4.0</v>
      </c>
      <c r="P133" s="5">
        <v>0.0</v>
      </c>
      <c r="Q133" s="5">
        <v>1.0</v>
      </c>
    </row>
    <row r="134" ht="15.75" customHeight="1">
      <c r="A134" s="3" t="s">
        <v>141</v>
      </c>
      <c r="B134" s="4">
        <v>0.3335416666666667</v>
      </c>
      <c r="C134" s="4">
        <v>0.1913888888888889</v>
      </c>
      <c r="D134" s="5">
        <v>91.0</v>
      </c>
      <c r="E134" s="6">
        <v>0.675</v>
      </c>
      <c r="F134" s="6">
        <v>0.5573</v>
      </c>
      <c r="G134" s="6">
        <v>0.5613</v>
      </c>
      <c r="H134" s="6">
        <v>0.0</v>
      </c>
      <c r="I134" s="6">
        <v>0.2684</v>
      </c>
      <c r="J134" s="6">
        <v>0.0125</v>
      </c>
      <c r="K134" s="6">
        <v>0.0</v>
      </c>
      <c r="L134" s="6">
        <v>0.1549</v>
      </c>
      <c r="M134" s="6">
        <v>0.0028</v>
      </c>
      <c r="N134" s="5">
        <v>1.0</v>
      </c>
      <c r="O134" s="5">
        <v>0.0</v>
      </c>
      <c r="P134" s="5">
        <v>0.0</v>
      </c>
      <c r="Q134" s="5">
        <v>0.0</v>
      </c>
    </row>
    <row r="135" ht="15.75" customHeight="1">
      <c r="A135" s="3" t="s">
        <v>142</v>
      </c>
      <c r="B135" s="4">
        <v>0.3357175925925926</v>
      </c>
      <c r="C135" s="4">
        <v>0.12403935185185185</v>
      </c>
      <c r="D135" s="5">
        <v>92.0</v>
      </c>
      <c r="E135" s="6">
        <v>0.7151</v>
      </c>
      <c r="F135" s="6">
        <v>0.3328</v>
      </c>
      <c r="G135" s="6">
        <v>0.3377</v>
      </c>
      <c r="H135" s="6">
        <v>3.0E-4</v>
      </c>
      <c r="I135" s="6">
        <v>0.1348</v>
      </c>
      <c r="J135" s="6">
        <v>0.0315</v>
      </c>
      <c r="K135" s="6">
        <v>0.0</v>
      </c>
      <c r="L135" s="6">
        <v>0.4901</v>
      </c>
      <c r="M135" s="6">
        <v>0.0056</v>
      </c>
      <c r="N135" s="5">
        <v>0.0</v>
      </c>
      <c r="O135" s="5">
        <v>5.0</v>
      </c>
      <c r="P135" s="5">
        <v>0.0</v>
      </c>
      <c r="Q135" s="5">
        <v>0.0</v>
      </c>
    </row>
    <row r="136" ht="15.75" customHeight="1">
      <c r="A136" s="3" t="s">
        <v>143</v>
      </c>
      <c r="B136" s="4">
        <v>0.336875</v>
      </c>
      <c r="C136" s="4">
        <v>0.17017361111111112</v>
      </c>
      <c r="D136" s="5">
        <v>93.0</v>
      </c>
      <c r="E136" s="6">
        <v>0.7031</v>
      </c>
      <c r="F136" s="6">
        <v>0.4723</v>
      </c>
      <c r="G136" s="6">
        <v>0.4807</v>
      </c>
      <c r="H136" s="6">
        <v>0.0056</v>
      </c>
      <c r="I136" s="6">
        <v>0.2107</v>
      </c>
      <c r="J136" s="6">
        <v>0.0189</v>
      </c>
      <c r="K136" s="6">
        <v>0.0</v>
      </c>
      <c r="L136" s="6">
        <v>0.2821</v>
      </c>
      <c r="M136" s="6">
        <v>0.002</v>
      </c>
      <c r="N136" s="5">
        <v>0.0</v>
      </c>
      <c r="O136" s="5">
        <v>2.0</v>
      </c>
      <c r="P136" s="5">
        <v>2.0</v>
      </c>
      <c r="Q136" s="5">
        <v>0.0</v>
      </c>
    </row>
    <row r="137" ht="15.75" customHeight="1">
      <c r="A137" s="3" t="s">
        <v>144</v>
      </c>
      <c r="B137" s="4">
        <v>0.3370949074074074</v>
      </c>
      <c r="C137" s="4">
        <v>0.18885416666666666</v>
      </c>
      <c r="D137" s="5">
        <v>94.0</v>
      </c>
      <c r="E137" s="6">
        <v>0.7577</v>
      </c>
      <c r="F137" s="6">
        <v>0.5111</v>
      </c>
      <c r="G137" s="6">
        <v>0.5195</v>
      </c>
      <c r="H137" s="6">
        <v>0.002</v>
      </c>
      <c r="I137" s="6">
        <v>0.1744</v>
      </c>
      <c r="J137" s="6">
        <v>0.0388</v>
      </c>
      <c r="K137" s="6">
        <v>0.0</v>
      </c>
      <c r="L137" s="6">
        <v>0.261</v>
      </c>
      <c r="M137" s="6">
        <v>0.0043</v>
      </c>
      <c r="N137" s="5">
        <v>1.0</v>
      </c>
      <c r="O137" s="5">
        <v>5.0</v>
      </c>
      <c r="P137" s="5">
        <v>0.0</v>
      </c>
      <c r="Q137" s="5">
        <v>0.0</v>
      </c>
    </row>
    <row r="138" ht="15.75" customHeight="1">
      <c r="A138" s="3" t="s">
        <v>145</v>
      </c>
      <c r="B138" s="4">
        <v>0.3430787037037037</v>
      </c>
      <c r="C138" s="4">
        <v>0.22166666666666668</v>
      </c>
      <c r="D138" s="5">
        <v>95.0</v>
      </c>
      <c r="E138" s="6">
        <v>0.7488</v>
      </c>
      <c r="F138" s="6">
        <v>0.5889</v>
      </c>
      <c r="G138" s="6">
        <v>0.5987</v>
      </c>
      <c r="H138" s="6">
        <v>1.0E-4</v>
      </c>
      <c r="I138" s="6">
        <v>0.207</v>
      </c>
      <c r="J138" s="6">
        <v>0.0473</v>
      </c>
      <c r="K138" s="6">
        <v>0.0</v>
      </c>
      <c r="L138" s="6">
        <v>0.1381</v>
      </c>
      <c r="M138" s="6">
        <v>0.0087</v>
      </c>
      <c r="N138" s="5">
        <v>2.0</v>
      </c>
      <c r="O138" s="5">
        <v>5.0</v>
      </c>
      <c r="P138" s="5">
        <v>0.0</v>
      </c>
      <c r="Q138" s="5">
        <v>0.0</v>
      </c>
    </row>
    <row r="139" ht="15.75" customHeight="1">
      <c r="A139" s="3" t="s">
        <v>146</v>
      </c>
      <c r="B139" s="4">
        <v>0.3119212962962963</v>
      </c>
      <c r="C139" s="4">
        <v>0.12112268518518518</v>
      </c>
      <c r="D139" s="5">
        <v>96.0</v>
      </c>
      <c r="E139" s="6">
        <v>0.7818</v>
      </c>
      <c r="F139" s="6">
        <v>0.3429</v>
      </c>
      <c r="G139" s="6">
        <v>0.3459</v>
      </c>
      <c r="H139" s="6">
        <v>0.0</v>
      </c>
      <c r="I139" s="6">
        <v>0.1038</v>
      </c>
      <c r="J139" s="6">
        <v>0.0424</v>
      </c>
      <c r="K139" s="6">
        <v>0.0</v>
      </c>
      <c r="L139" s="6">
        <v>0.5051</v>
      </c>
      <c r="M139" s="6">
        <v>0.0028</v>
      </c>
      <c r="N139" s="5">
        <v>0.0</v>
      </c>
      <c r="O139" s="5">
        <v>5.0</v>
      </c>
      <c r="P139" s="5">
        <v>0.0</v>
      </c>
      <c r="Q139" s="5">
        <v>0.0</v>
      </c>
    </row>
    <row r="140" ht="15.75" customHeight="1">
      <c r="A140" s="3" t="s">
        <v>147</v>
      </c>
      <c r="B140" s="4">
        <v>0.3568634259259259</v>
      </c>
      <c r="C140" s="4">
        <v>0.19224537037037037</v>
      </c>
      <c r="D140" s="5">
        <v>97.0</v>
      </c>
      <c r="E140" s="6">
        <v>0.7308</v>
      </c>
      <c r="F140" s="6">
        <v>0.4975</v>
      </c>
      <c r="G140" s="6">
        <v>0.5</v>
      </c>
      <c r="H140" s="6">
        <v>3.0E-4</v>
      </c>
      <c r="I140" s="6">
        <v>0.1906</v>
      </c>
      <c r="J140" s="6">
        <v>0.0384</v>
      </c>
      <c r="K140" s="6">
        <v>0.0</v>
      </c>
      <c r="L140" s="6">
        <v>0.2668</v>
      </c>
      <c r="M140" s="6">
        <v>0.0039</v>
      </c>
      <c r="N140" s="5">
        <v>0.0</v>
      </c>
      <c r="O140" s="5">
        <v>6.0</v>
      </c>
      <c r="P140" s="5">
        <v>0.0</v>
      </c>
      <c r="Q140" s="5">
        <v>1.0</v>
      </c>
    </row>
    <row r="141" ht="15.75" customHeight="1">
      <c r="A141" s="3" t="s">
        <v>148</v>
      </c>
      <c r="B141" s="4">
        <v>0.34392361111111114</v>
      </c>
      <c r="C141" s="4">
        <v>0.20146990740740742</v>
      </c>
      <c r="D141" s="5">
        <v>98.0</v>
      </c>
      <c r="E141" s="6">
        <v>0.6825</v>
      </c>
      <c r="F141" s="6">
        <v>0.5243</v>
      </c>
      <c r="G141" s="6">
        <v>0.5358</v>
      </c>
      <c r="H141" s="6">
        <v>0.0162</v>
      </c>
      <c r="I141" s="6">
        <v>0.2659</v>
      </c>
      <c r="J141" s="6">
        <v>0.0339</v>
      </c>
      <c r="K141" s="6">
        <v>0.0</v>
      </c>
      <c r="L141" s="6">
        <v>0.142</v>
      </c>
      <c r="M141" s="6">
        <v>0.0063</v>
      </c>
      <c r="N141" s="5">
        <v>2.0</v>
      </c>
      <c r="O141" s="5">
        <v>3.0</v>
      </c>
      <c r="P141" s="5">
        <v>1.0</v>
      </c>
      <c r="Q141" s="5">
        <v>0.0</v>
      </c>
    </row>
    <row r="142" ht="15.75" customHeight="1">
      <c r="A142" s="3" t="s">
        <v>149</v>
      </c>
      <c r="B142" s="4">
        <v>0.34658564814814813</v>
      </c>
      <c r="C142" s="4">
        <v>0.12475694444444445</v>
      </c>
      <c r="D142" s="5">
        <v>99.0</v>
      </c>
      <c r="E142" s="6">
        <v>0.7929</v>
      </c>
      <c r="F142" s="6">
        <v>0.3107</v>
      </c>
      <c r="G142" s="6">
        <v>0.3296</v>
      </c>
      <c r="H142" s="6">
        <v>0.0115</v>
      </c>
      <c r="I142" s="6">
        <v>0.0915</v>
      </c>
      <c r="J142" s="6">
        <v>0.0188</v>
      </c>
      <c r="K142" s="6">
        <v>0.0</v>
      </c>
      <c r="L142" s="6">
        <v>0.5462</v>
      </c>
      <c r="M142" s="6">
        <v>0.0023</v>
      </c>
      <c r="N142" s="5">
        <v>0.0</v>
      </c>
      <c r="O142" s="5">
        <v>2.0</v>
      </c>
      <c r="P142" s="5">
        <v>2.0</v>
      </c>
      <c r="Q142" s="5">
        <v>0.0</v>
      </c>
    </row>
    <row r="143" ht="15.75" customHeight="1">
      <c r="A143" s="3" t="s">
        <v>150</v>
      </c>
      <c r="B143" s="4">
        <v>0.3428125</v>
      </c>
      <c r="C143" s="4">
        <v>0.22505787037037037</v>
      </c>
      <c r="D143" s="5">
        <v>100.0</v>
      </c>
      <c r="E143" s="6">
        <v>0.7548</v>
      </c>
      <c r="F143" s="6">
        <v>0.5846</v>
      </c>
      <c r="G143" s="6">
        <v>0.5957</v>
      </c>
      <c r="H143" s="6">
        <v>1.0E-4</v>
      </c>
      <c r="I143" s="6">
        <v>0.1738</v>
      </c>
      <c r="J143" s="6">
        <v>0.0585</v>
      </c>
      <c r="K143" s="6">
        <v>0.0</v>
      </c>
      <c r="L143" s="6">
        <v>0.1514</v>
      </c>
      <c r="M143" s="6">
        <v>0.0205</v>
      </c>
      <c r="N143" s="5">
        <v>2.0</v>
      </c>
      <c r="O143" s="5">
        <v>10.0</v>
      </c>
      <c r="P143" s="5">
        <v>0.0</v>
      </c>
      <c r="Q143" s="5">
        <v>1.0</v>
      </c>
    </row>
    <row r="144" ht="15.75" customHeight="1">
      <c r="A144" s="3" t="s">
        <v>151</v>
      </c>
      <c r="B144" s="4">
        <v>0.35055555555555556</v>
      </c>
      <c r="C144" s="4">
        <v>0.11953703703703704</v>
      </c>
      <c r="D144" s="5">
        <v>101.0</v>
      </c>
      <c r="E144" s="6">
        <v>0.8526</v>
      </c>
      <c r="F144" s="6">
        <v>0.3169</v>
      </c>
      <c r="G144" s="6">
        <v>0.3232</v>
      </c>
      <c r="H144" s="6">
        <v>0.0083</v>
      </c>
      <c r="I144" s="6">
        <v>0.0514</v>
      </c>
      <c r="J144" s="6">
        <v>0.0095</v>
      </c>
      <c r="K144" s="6">
        <v>0.0</v>
      </c>
      <c r="L144" s="6">
        <v>0.6014</v>
      </c>
      <c r="M144" s="6">
        <v>0.0062</v>
      </c>
      <c r="N144" s="5">
        <v>3.0</v>
      </c>
      <c r="O144" s="5">
        <v>1.0</v>
      </c>
      <c r="P144" s="5">
        <v>2.0</v>
      </c>
      <c r="Q144" s="5">
        <v>0.0</v>
      </c>
    </row>
    <row r="145" ht="15.75" customHeight="1">
      <c r="A145" s="3" t="s">
        <v>152</v>
      </c>
      <c r="B145" s="4">
        <v>0.34575231481481483</v>
      </c>
      <c r="C145" s="4">
        <v>0.2026851851851852</v>
      </c>
      <c r="D145" s="5">
        <v>102.0</v>
      </c>
      <c r="E145" s="6">
        <v>0.6851</v>
      </c>
      <c r="F145" s="6">
        <v>0.5638</v>
      </c>
      <c r="G145" s="6">
        <v>0.5658</v>
      </c>
      <c r="H145" s="6">
        <v>0.0</v>
      </c>
      <c r="I145" s="6">
        <v>0.2646</v>
      </c>
      <c r="J145" s="6">
        <v>0.0204</v>
      </c>
      <c r="K145" s="6">
        <v>0.0</v>
      </c>
      <c r="L145" s="6">
        <v>0.1447</v>
      </c>
      <c r="M145" s="6">
        <v>0.0044</v>
      </c>
      <c r="N145" s="5">
        <v>0.0</v>
      </c>
      <c r="O145" s="5">
        <v>1.0</v>
      </c>
      <c r="P145" s="5">
        <v>0.0</v>
      </c>
      <c r="Q145" s="5">
        <v>0.0</v>
      </c>
    </row>
    <row r="146" ht="15.75" customHeight="1">
      <c r="A146" s="3" t="s">
        <v>153</v>
      </c>
      <c r="B146" s="4">
        <v>0.35479166666666667</v>
      </c>
      <c r="C146" s="4">
        <v>0.21916666666666668</v>
      </c>
      <c r="D146" s="5">
        <v>103.0</v>
      </c>
      <c r="E146" s="6">
        <v>0.6922</v>
      </c>
      <c r="F146" s="6">
        <v>0.5478</v>
      </c>
      <c r="G146" s="6">
        <v>0.5558</v>
      </c>
      <c r="H146" s="6">
        <v>0.0</v>
      </c>
      <c r="I146" s="6">
        <v>0.2687</v>
      </c>
      <c r="J146" s="6">
        <v>0.0619</v>
      </c>
      <c r="K146" s="6">
        <v>0.0</v>
      </c>
      <c r="L146" s="6">
        <v>0.1098</v>
      </c>
      <c r="M146" s="6">
        <v>0.0038</v>
      </c>
      <c r="N146" s="5">
        <v>0.0</v>
      </c>
      <c r="O146" s="5">
        <v>7.0</v>
      </c>
      <c r="P146" s="5">
        <v>0.0</v>
      </c>
      <c r="Q146" s="5">
        <v>0.0</v>
      </c>
    </row>
    <row r="147" ht="15.75" customHeight="1">
      <c r="A147" s="3" t="s">
        <v>154</v>
      </c>
      <c r="B147" s="4">
        <v>0.36542824074074076</v>
      </c>
      <c r="C147" s="4">
        <v>0.15059027777777778</v>
      </c>
      <c r="D147" s="5">
        <v>104.0</v>
      </c>
      <c r="E147" s="6">
        <v>0.7576</v>
      </c>
      <c r="F147" s="6">
        <v>0.3797</v>
      </c>
      <c r="G147" s="6">
        <v>0.3842</v>
      </c>
      <c r="H147" s="6">
        <v>1.0E-4</v>
      </c>
      <c r="I147" s="6">
        <v>0.1249</v>
      </c>
      <c r="J147" s="6">
        <v>0.0279</v>
      </c>
      <c r="K147" s="6">
        <v>0.0</v>
      </c>
      <c r="L147" s="6">
        <v>0.4608</v>
      </c>
      <c r="M147" s="6">
        <v>0.0021</v>
      </c>
      <c r="N147" s="5">
        <v>2.0</v>
      </c>
      <c r="O147" s="5">
        <v>5.0</v>
      </c>
      <c r="P147" s="5">
        <v>0.0</v>
      </c>
      <c r="Q147" s="5">
        <v>0.0</v>
      </c>
    </row>
    <row r="148" ht="15.75" customHeight="1">
      <c r="A148" s="3" t="s">
        <v>155</v>
      </c>
      <c r="B148" s="4">
        <v>0.3437037037037037</v>
      </c>
      <c r="C148" s="4">
        <v>0.21891203703703704</v>
      </c>
      <c r="D148" s="5">
        <v>105.0</v>
      </c>
      <c r="E148" s="6">
        <v>0.7411</v>
      </c>
      <c r="F148" s="6">
        <v>0.5653</v>
      </c>
      <c r="G148" s="6">
        <v>0.574</v>
      </c>
      <c r="H148" s="6">
        <v>0.0015</v>
      </c>
      <c r="I148" s="6">
        <v>0.2105</v>
      </c>
      <c r="J148" s="6">
        <v>0.0614</v>
      </c>
      <c r="K148" s="6">
        <v>0.0</v>
      </c>
      <c r="L148" s="6">
        <v>0.1458</v>
      </c>
      <c r="M148" s="6">
        <v>0.0068</v>
      </c>
      <c r="N148" s="5">
        <v>0.0</v>
      </c>
      <c r="O148" s="5">
        <v>12.0</v>
      </c>
      <c r="P148" s="5">
        <v>1.0</v>
      </c>
      <c r="Q148" s="5">
        <v>0.0</v>
      </c>
    </row>
    <row r="149" ht="15.75" customHeight="1">
      <c r="A149" s="3" t="s">
        <v>156</v>
      </c>
      <c r="B149" s="4">
        <v>0.20827546296296295</v>
      </c>
      <c r="C149" s="4">
        <v>0.1310300925925926</v>
      </c>
      <c r="D149" s="5">
        <v>106.0</v>
      </c>
      <c r="E149" s="6">
        <v>0.662</v>
      </c>
      <c r="F149" s="6">
        <v>0.6026</v>
      </c>
      <c r="G149" s="6">
        <v>0.6096</v>
      </c>
      <c r="H149" s="6">
        <v>2.0E-4</v>
      </c>
      <c r="I149" s="6">
        <v>0.3034</v>
      </c>
      <c r="J149" s="6">
        <v>0.0186</v>
      </c>
      <c r="K149" s="6">
        <v>0.0</v>
      </c>
      <c r="L149" s="6">
        <v>0.0502</v>
      </c>
      <c r="M149" s="6">
        <v>0.0181</v>
      </c>
      <c r="N149" s="5">
        <v>0.0</v>
      </c>
      <c r="O149" s="5">
        <v>1.0</v>
      </c>
      <c r="P149" s="5">
        <v>0.0</v>
      </c>
      <c r="Q149" s="5">
        <v>4.0</v>
      </c>
    </row>
    <row r="150" ht="15.75" customHeight="1">
      <c r="A150" s="3" t="s">
        <v>157</v>
      </c>
      <c r="B150" s="4">
        <v>0.3568865740740741</v>
      </c>
      <c r="C150" s="4">
        <v>0.1936226851851852</v>
      </c>
      <c r="D150" s="5">
        <v>107.0</v>
      </c>
      <c r="E150" s="6">
        <v>0.738</v>
      </c>
      <c r="F150" s="6">
        <v>0.4981</v>
      </c>
      <c r="G150" s="6">
        <v>0.508</v>
      </c>
      <c r="H150" s="6">
        <v>0.0025</v>
      </c>
      <c r="I150" s="6">
        <v>0.1839</v>
      </c>
      <c r="J150" s="6">
        <v>0.0321</v>
      </c>
      <c r="K150" s="6">
        <v>0.0</v>
      </c>
      <c r="L150" s="6">
        <v>0.2663</v>
      </c>
      <c r="M150" s="6">
        <v>0.0072</v>
      </c>
      <c r="N150" s="5">
        <v>4.0</v>
      </c>
      <c r="O150" s="5">
        <v>5.0</v>
      </c>
      <c r="P150" s="5">
        <v>0.0</v>
      </c>
      <c r="Q150" s="5">
        <v>0.0</v>
      </c>
    </row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0" footer="0.0" header="0.0" left="0.0" right="0.0" top="0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7.0"/>
    <col customWidth="1" min="2" max="2" width="13.13"/>
    <col customWidth="1" min="3" max="3" width="15.0"/>
    <col customWidth="1" min="4" max="4" width="15.13"/>
    <col customWidth="1" min="5" max="5" width="13.63"/>
    <col customWidth="1" min="6" max="6" width="9.38"/>
    <col customWidth="1" min="7" max="7" width="16.0"/>
    <col customWidth="1" min="8" max="8" width="22.25"/>
    <col customWidth="1" min="9" max="9" width="21.13"/>
    <col customWidth="1" min="10" max="10" width="18.25"/>
  </cols>
  <sheetData>
    <row r="1" ht="15.75" customHeight="1">
      <c r="A1" s="1" t="s">
        <v>0</v>
      </c>
      <c r="B1" s="2" t="s">
        <v>160</v>
      </c>
      <c r="C1" s="2" t="s">
        <v>174</v>
      </c>
      <c r="D1" s="2" t="s">
        <v>175</v>
      </c>
      <c r="E1" s="2" t="s">
        <v>176</v>
      </c>
      <c r="F1" s="2" t="s">
        <v>177</v>
      </c>
      <c r="G1" s="2" t="s">
        <v>178</v>
      </c>
      <c r="H1" s="2" t="s">
        <v>179</v>
      </c>
      <c r="I1" s="2" t="s">
        <v>180</v>
      </c>
      <c r="J1" s="2" t="s">
        <v>181</v>
      </c>
    </row>
    <row r="2" ht="15.75" customHeight="1">
      <c r="A2" s="3" t="s">
        <v>9</v>
      </c>
      <c r="B2" s="5">
        <v>98.0</v>
      </c>
      <c r="C2" s="6">
        <v>0.0</v>
      </c>
      <c r="D2" s="6">
        <v>0.0</v>
      </c>
      <c r="E2" s="6">
        <v>0.0</v>
      </c>
      <c r="F2" s="6">
        <v>0.1029</v>
      </c>
      <c r="G2" s="6">
        <v>0.0</v>
      </c>
      <c r="H2" s="4">
        <v>0.002928240740740741</v>
      </c>
      <c r="I2" s="4">
        <v>1.1574074074074073E-5</v>
      </c>
      <c r="J2" s="4">
        <v>1.0416666666666667E-4</v>
      </c>
    </row>
    <row r="3" ht="15.75" customHeight="1">
      <c r="A3" s="3" t="s">
        <v>10</v>
      </c>
      <c r="B3" s="5">
        <v>23.0</v>
      </c>
      <c r="C3" s="6">
        <v>0.0</v>
      </c>
      <c r="D3" s="6">
        <v>0.0</v>
      </c>
      <c r="E3" s="6">
        <v>0.0</v>
      </c>
      <c r="F3" s="6">
        <v>0.1029</v>
      </c>
      <c r="G3" s="6">
        <v>0.0</v>
      </c>
      <c r="H3" s="4">
        <v>0.002928240740740741</v>
      </c>
      <c r="I3" s="4">
        <v>1.1574074074074073E-5</v>
      </c>
      <c r="J3" s="4">
        <v>1.0416666666666667E-4</v>
      </c>
    </row>
    <row r="4" ht="15.75" customHeight="1">
      <c r="A4" s="3" t="s">
        <v>11</v>
      </c>
      <c r="B4" s="5">
        <v>28.0</v>
      </c>
      <c r="C4" s="6">
        <v>0.0147</v>
      </c>
      <c r="D4" s="6">
        <v>0.0</v>
      </c>
      <c r="E4" s="6">
        <v>0.0</v>
      </c>
      <c r="F4" s="6">
        <v>0.0735</v>
      </c>
      <c r="G4" s="6">
        <v>0.0</v>
      </c>
      <c r="H4" s="4">
        <v>0.0028935185185185184</v>
      </c>
      <c r="I4" s="4">
        <v>0.0</v>
      </c>
      <c r="J4" s="4">
        <v>8.101851851851852E-5</v>
      </c>
    </row>
    <row r="5" ht="15.75" customHeight="1">
      <c r="A5" s="3" t="s">
        <v>12</v>
      </c>
      <c r="B5" s="5">
        <v>29.0</v>
      </c>
      <c r="C5" s="6">
        <v>0.0147</v>
      </c>
      <c r="D5" s="6">
        <v>0.0</v>
      </c>
      <c r="E5" s="6">
        <v>0.0</v>
      </c>
      <c r="F5" s="6">
        <v>0.0735</v>
      </c>
      <c r="G5" s="6">
        <v>0.0</v>
      </c>
      <c r="H5" s="4">
        <v>0.0028935185185185184</v>
      </c>
      <c r="I5" s="4">
        <v>0.0</v>
      </c>
      <c r="J5" s="4">
        <v>8.101851851851852E-5</v>
      </c>
    </row>
    <row r="6" ht="15.75" customHeight="1">
      <c r="A6" s="3" t="s">
        <v>13</v>
      </c>
      <c r="B6" s="5">
        <v>93.0</v>
      </c>
      <c r="C6" s="6">
        <v>0.0833</v>
      </c>
      <c r="D6" s="6">
        <v>0.0</v>
      </c>
      <c r="E6" s="6">
        <v>0.0</v>
      </c>
      <c r="F6" s="6">
        <v>0.1667</v>
      </c>
      <c r="G6" s="6">
        <v>0.1</v>
      </c>
      <c r="H6" s="4">
        <v>0.0030671296296296297</v>
      </c>
      <c r="I6" s="4">
        <v>6.828703703703704E-4</v>
      </c>
      <c r="J6" s="4">
        <v>1.273148148148148E-4</v>
      </c>
    </row>
    <row r="7" ht="15.75" customHeight="1">
      <c r="A7" s="3" t="s">
        <v>14</v>
      </c>
      <c r="B7" s="5">
        <v>92.0</v>
      </c>
      <c r="C7" s="6">
        <v>0.0833</v>
      </c>
      <c r="D7" s="6">
        <v>0.0</v>
      </c>
      <c r="E7" s="6">
        <v>0.0</v>
      </c>
      <c r="F7" s="6">
        <v>0.1667</v>
      </c>
      <c r="G7" s="6">
        <v>0.1</v>
      </c>
      <c r="H7" s="4">
        <v>0.0030671296296296297</v>
      </c>
      <c r="I7" s="4">
        <v>6.828703703703704E-4</v>
      </c>
      <c r="J7" s="4">
        <v>1.273148148148148E-4</v>
      </c>
    </row>
    <row r="8" ht="15.75" customHeight="1">
      <c r="A8" s="3" t="s">
        <v>15</v>
      </c>
      <c r="B8" s="5">
        <v>26.0</v>
      </c>
      <c r="C8" s="6">
        <v>0.0545</v>
      </c>
      <c r="D8" s="6">
        <v>0.0</v>
      </c>
      <c r="E8" s="6">
        <v>0.0179</v>
      </c>
      <c r="F8" s="6">
        <v>0.1091</v>
      </c>
      <c r="G8" s="6">
        <v>0.0</v>
      </c>
      <c r="H8" s="4">
        <v>0.0030787037037037037</v>
      </c>
      <c r="I8" s="4">
        <v>0.0</v>
      </c>
      <c r="J8" s="4">
        <v>1.6203703703703703E-4</v>
      </c>
    </row>
    <row r="9" ht="15.75" customHeight="1">
      <c r="A9" s="3" t="s">
        <v>16</v>
      </c>
      <c r="B9" s="5">
        <v>90.0</v>
      </c>
      <c r="C9" s="6">
        <v>0.0545</v>
      </c>
      <c r="D9" s="6">
        <v>0.0</v>
      </c>
      <c r="E9" s="6">
        <v>0.0179</v>
      </c>
      <c r="F9" s="6">
        <v>0.1091</v>
      </c>
      <c r="G9" s="6">
        <v>0.0</v>
      </c>
      <c r="H9" s="4">
        <v>0.0030787037037037037</v>
      </c>
      <c r="I9" s="4">
        <v>0.0</v>
      </c>
      <c r="J9" s="4">
        <v>1.6203703703703703E-4</v>
      </c>
    </row>
    <row r="10" ht="15.75" customHeight="1">
      <c r="A10" s="3" t="s">
        <v>17</v>
      </c>
      <c r="B10" s="5">
        <v>89.0</v>
      </c>
      <c r="C10" s="6">
        <v>0.0</v>
      </c>
      <c r="D10" s="6">
        <v>0.0</v>
      </c>
      <c r="E10" s="6">
        <v>0.0</v>
      </c>
      <c r="F10" s="6">
        <v>0.0682</v>
      </c>
      <c r="G10" s="6">
        <v>0.0</v>
      </c>
      <c r="H10" s="4">
        <v>0.002384259259259259</v>
      </c>
      <c r="I10" s="4">
        <v>3.472222222222222E-5</v>
      </c>
      <c r="J10" s="4">
        <v>1.1574074074074075E-4</v>
      </c>
    </row>
    <row r="11" ht="15.75" customHeight="1">
      <c r="A11" s="3" t="s">
        <v>18</v>
      </c>
      <c r="B11" s="5">
        <v>54.0</v>
      </c>
      <c r="C11" s="6">
        <v>0.0</v>
      </c>
      <c r="D11" s="6">
        <v>0.0</v>
      </c>
      <c r="E11" s="6">
        <v>0.0</v>
      </c>
      <c r="F11" s="6">
        <v>0.0682</v>
      </c>
      <c r="G11" s="6">
        <v>0.0</v>
      </c>
      <c r="H11" s="4">
        <v>0.002384259259259259</v>
      </c>
      <c r="I11" s="4">
        <v>3.472222222222222E-5</v>
      </c>
      <c r="J11" s="4">
        <v>1.1574074074074075E-4</v>
      </c>
    </row>
    <row r="12" ht="15.75" customHeight="1">
      <c r="A12" s="3" t="s">
        <v>19</v>
      </c>
      <c r="B12" s="5">
        <v>87.0</v>
      </c>
      <c r="C12" s="6">
        <v>0.0</v>
      </c>
      <c r="D12" s="6">
        <v>0.0</v>
      </c>
      <c r="E12" s="6">
        <v>0.0</v>
      </c>
      <c r="F12" s="6">
        <v>0.0652</v>
      </c>
      <c r="G12" s="6">
        <v>0.0</v>
      </c>
      <c r="H12" s="4">
        <v>0.0027083333333333334</v>
      </c>
      <c r="I12" s="4">
        <v>5.902777777777778E-4</v>
      </c>
      <c r="J12" s="4">
        <v>3.125E-4</v>
      </c>
    </row>
    <row r="13" ht="15.75" customHeight="1">
      <c r="A13" s="3" t="s">
        <v>20</v>
      </c>
      <c r="B13" s="5">
        <v>65.0</v>
      </c>
      <c r="C13" s="6">
        <v>0.0</v>
      </c>
      <c r="D13" s="6">
        <v>0.0</v>
      </c>
      <c r="E13" s="6">
        <v>0.0</v>
      </c>
      <c r="F13" s="6">
        <v>0.0652</v>
      </c>
      <c r="G13" s="6">
        <v>0.0</v>
      </c>
      <c r="H13" s="4">
        <v>0.0027083333333333334</v>
      </c>
      <c r="I13" s="4">
        <v>5.902777777777778E-4</v>
      </c>
      <c r="J13" s="4">
        <v>3.125E-4</v>
      </c>
    </row>
    <row r="14" ht="15.75" customHeight="1">
      <c r="A14" s="3" t="s">
        <v>21</v>
      </c>
      <c r="B14" s="5">
        <v>85.0</v>
      </c>
      <c r="C14" s="6">
        <v>0.0</v>
      </c>
      <c r="D14" s="6">
        <v>0.0</v>
      </c>
      <c r="E14" s="6">
        <v>0.0</v>
      </c>
      <c r="F14" s="6">
        <v>0.0769</v>
      </c>
      <c r="G14" s="6">
        <v>0.0</v>
      </c>
      <c r="H14" s="4">
        <v>0.0028587962962962963</v>
      </c>
      <c r="I14" s="4">
        <v>0.0</v>
      </c>
      <c r="J14" s="4">
        <v>4.6296296296296294E-5</v>
      </c>
    </row>
    <row r="15" ht="15.75" customHeight="1">
      <c r="A15" s="3" t="s">
        <v>22</v>
      </c>
      <c r="B15" s="5">
        <v>65.0</v>
      </c>
      <c r="C15" s="6">
        <v>0.0</v>
      </c>
      <c r="D15" s="6">
        <v>0.0</v>
      </c>
      <c r="E15" s="6">
        <v>0.0</v>
      </c>
      <c r="F15" s="6">
        <v>0.0769</v>
      </c>
      <c r="G15" s="6">
        <v>0.0</v>
      </c>
      <c r="H15" s="4">
        <v>0.0028587962962962963</v>
      </c>
      <c r="I15" s="4">
        <v>0.0</v>
      </c>
      <c r="J15" s="4">
        <v>4.6296296296296294E-5</v>
      </c>
    </row>
    <row r="16" ht="15.75" customHeight="1">
      <c r="A16" s="3" t="s">
        <v>23</v>
      </c>
      <c r="B16" s="5">
        <v>83.0</v>
      </c>
      <c r="C16" s="6">
        <v>0.0964</v>
      </c>
      <c r="D16" s="6">
        <v>0.0</v>
      </c>
      <c r="E16" s="6">
        <v>0.0119</v>
      </c>
      <c r="F16" s="6">
        <v>0.1325</v>
      </c>
      <c r="G16" s="6">
        <v>0.0909</v>
      </c>
      <c r="H16" s="4">
        <v>0.0027083333333333334</v>
      </c>
      <c r="I16" s="4">
        <v>3.0092592592592595E-4</v>
      </c>
      <c r="J16" s="4">
        <v>1.8518518518518518E-4</v>
      </c>
    </row>
    <row r="17" ht="15.75" customHeight="1">
      <c r="A17" s="3" t="s">
        <v>24</v>
      </c>
      <c r="B17" s="5">
        <v>82.0</v>
      </c>
      <c r="C17" s="6">
        <v>0.0964</v>
      </c>
      <c r="D17" s="6">
        <v>0.0</v>
      </c>
      <c r="E17" s="6">
        <v>0.0119</v>
      </c>
      <c r="F17" s="6">
        <v>0.1325</v>
      </c>
      <c r="G17" s="6">
        <v>0.0909</v>
      </c>
      <c r="H17" s="4">
        <v>0.0027083333333333334</v>
      </c>
      <c r="I17" s="4">
        <v>3.0092592592592595E-4</v>
      </c>
      <c r="J17" s="4">
        <v>1.8518518518518518E-4</v>
      </c>
    </row>
    <row r="18" ht="15.75" customHeight="1">
      <c r="A18" s="3" t="s">
        <v>25</v>
      </c>
      <c r="B18" s="5">
        <v>81.0</v>
      </c>
      <c r="C18" s="6">
        <v>0.0303</v>
      </c>
      <c r="D18" s="6">
        <v>0.0</v>
      </c>
      <c r="E18" s="6">
        <v>0.0286</v>
      </c>
      <c r="F18" s="6">
        <v>0.0758</v>
      </c>
      <c r="G18" s="6">
        <v>0.0</v>
      </c>
      <c r="H18" s="4">
        <v>0.0029861111111111113</v>
      </c>
      <c r="I18" s="4">
        <v>4.6296296296296294E-5</v>
      </c>
      <c r="J18" s="4">
        <v>8.101851851851852E-5</v>
      </c>
    </row>
    <row r="19" ht="15.75" customHeight="1">
      <c r="A19" s="3" t="s">
        <v>26</v>
      </c>
      <c r="B19" s="5">
        <v>80.0</v>
      </c>
      <c r="C19" s="6">
        <v>0.0303</v>
      </c>
      <c r="D19" s="6">
        <v>0.0</v>
      </c>
      <c r="E19" s="6">
        <v>0.0286</v>
      </c>
      <c r="F19" s="6">
        <v>0.0758</v>
      </c>
      <c r="G19" s="6">
        <v>0.0</v>
      </c>
      <c r="H19" s="4">
        <v>0.0029861111111111113</v>
      </c>
      <c r="I19" s="4">
        <v>4.6296296296296294E-5</v>
      </c>
      <c r="J19" s="4">
        <v>8.101851851851852E-5</v>
      </c>
    </row>
    <row r="20" ht="15.75" customHeight="1">
      <c r="A20" s="3" t="s">
        <v>27</v>
      </c>
      <c r="B20" s="5">
        <v>79.0</v>
      </c>
      <c r="C20" s="6">
        <v>0.0597</v>
      </c>
      <c r="D20" s="6">
        <v>0.0</v>
      </c>
      <c r="E20" s="6">
        <v>0.0</v>
      </c>
      <c r="F20" s="6">
        <v>0.1045</v>
      </c>
      <c r="G20" s="6">
        <v>0.0</v>
      </c>
      <c r="H20" s="4">
        <v>0.0030324074074074073</v>
      </c>
      <c r="I20" s="4">
        <v>1.1574074074074073E-5</v>
      </c>
      <c r="J20" s="4">
        <v>4.6296296296296294E-5</v>
      </c>
    </row>
    <row r="21" ht="15.75" customHeight="1">
      <c r="A21" s="3" t="s">
        <v>28</v>
      </c>
      <c r="B21" s="5">
        <v>78.0</v>
      </c>
      <c r="C21" s="6">
        <v>0.0597</v>
      </c>
      <c r="D21" s="6">
        <v>0.0</v>
      </c>
      <c r="E21" s="6">
        <v>0.0</v>
      </c>
      <c r="F21" s="6">
        <v>0.1045</v>
      </c>
      <c r="G21" s="6">
        <v>0.0</v>
      </c>
      <c r="H21" s="4">
        <v>0.0030324074074074073</v>
      </c>
      <c r="I21" s="4">
        <v>1.1574074074074073E-5</v>
      </c>
      <c r="J21" s="4">
        <v>4.6296296296296294E-5</v>
      </c>
    </row>
    <row r="22" ht="15.75" customHeight="1">
      <c r="A22" s="3" t="s">
        <v>29</v>
      </c>
      <c r="B22" s="5">
        <v>77.0</v>
      </c>
      <c r="C22" s="6">
        <v>0.0299</v>
      </c>
      <c r="D22" s="6">
        <v>0.0</v>
      </c>
      <c r="E22" s="6">
        <v>0.0</v>
      </c>
      <c r="F22" s="6">
        <v>0.1194</v>
      </c>
      <c r="G22" s="6">
        <v>0.0</v>
      </c>
      <c r="H22" s="4">
        <v>0.002824074074074074</v>
      </c>
      <c r="I22" s="4">
        <v>4.5138888888888887E-4</v>
      </c>
      <c r="J22" s="4">
        <v>1.0416666666666667E-4</v>
      </c>
    </row>
    <row r="23" ht="15.75" customHeight="1">
      <c r="A23" s="3" t="s">
        <v>30</v>
      </c>
      <c r="B23" s="5">
        <v>76.0</v>
      </c>
      <c r="C23" s="6">
        <v>0.0299</v>
      </c>
      <c r="D23" s="6">
        <v>0.0</v>
      </c>
      <c r="E23" s="6">
        <v>0.0</v>
      </c>
      <c r="F23" s="6">
        <v>0.1194</v>
      </c>
      <c r="G23" s="6">
        <v>0.0</v>
      </c>
      <c r="H23" s="4">
        <v>0.002824074074074074</v>
      </c>
      <c r="I23" s="4">
        <v>4.5138888888888887E-4</v>
      </c>
      <c r="J23" s="4">
        <v>1.0416666666666667E-4</v>
      </c>
    </row>
    <row r="24" ht="15.75" customHeight="1">
      <c r="A24" s="3" t="s">
        <v>31</v>
      </c>
      <c r="B24" s="5">
        <v>75.0</v>
      </c>
      <c r="C24" s="6">
        <v>0.0727</v>
      </c>
      <c r="D24" s="6">
        <v>0.0</v>
      </c>
      <c r="E24" s="6">
        <v>0.0175</v>
      </c>
      <c r="F24" s="6">
        <v>0.0727</v>
      </c>
      <c r="G24" s="6">
        <v>0.0</v>
      </c>
      <c r="H24" s="4">
        <v>0.0026041666666666665</v>
      </c>
      <c r="I24" s="4">
        <v>0.0</v>
      </c>
      <c r="J24" s="4">
        <v>2.662037037037037E-4</v>
      </c>
    </row>
    <row r="25" ht="15.75" customHeight="1">
      <c r="A25" s="3" t="s">
        <v>32</v>
      </c>
      <c r="B25" s="5">
        <v>74.0</v>
      </c>
      <c r="C25" s="6">
        <v>0.0727</v>
      </c>
      <c r="D25" s="6">
        <v>0.0</v>
      </c>
      <c r="E25" s="6">
        <v>0.0175</v>
      </c>
      <c r="F25" s="6">
        <v>0.0727</v>
      </c>
      <c r="G25" s="6">
        <v>0.0</v>
      </c>
      <c r="H25" s="4">
        <v>0.0026041666666666665</v>
      </c>
      <c r="I25" s="4">
        <v>0.0</v>
      </c>
      <c r="J25" s="4">
        <v>2.662037037037037E-4</v>
      </c>
    </row>
    <row r="26" ht="15.75" customHeight="1">
      <c r="A26" s="3" t="s">
        <v>33</v>
      </c>
      <c r="B26" s="5">
        <v>73.0</v>
      </c>
      <c r="C26" s="6">
        <v>0.0909</v>
      </c>
      <c r="D26" s="6">
        <v>0.0</v>
      </c>
      <c r="E26" s="6">
        <v>0.0</v>
      </c>
      <c r="F26" s="6">
        <v>0.1061</v>
      </c>
      <c r="G26" s="6">
        <v>0.0</v>
      </c>
      <c r="H26" s="4">
        <v>0.0026041666666666665</v>
      </c>
      <c r="I26" s="4">
        <v>1.1574074074074073E-5</v>
      </c>
      <c r="J26" s="4">
        <v>2.8935185185185184E-4</v>
      </c>
    </row>
    <row r="27" ht="15.75" customHeight="1">
      <c r="A27" s="3" t="s">
        <v>34</v>
      </c>
      <c r="B27" s="5">
        <v>72.0</v>
      </c>
      <c r="C27" s="6">
        <v>0.0909</v>
      </c>
      <c r="D27" s="6">
        <v>0.0</v>
      </c>
      <c r="E27" s="6">
        <v>0.0</v>
      </c>
      <c r="F27" s="6">
        <v>0.1061</v>
      </c>
      <c r="G27" s="6">
        <v>0.0</v>
      </c>
      <c r="H27" s="4">
        <v>0.0026041666666666665</v>
      </c>
      <c r="I27" s="4">
        <v>1.1574074074074073E-5</v>
      </c>
      <c r="J27" s="4">
        <v>2.8935185185185184E-4</v>
      </c>
    </row>
    <row r="28" ht="15.75" customHeight="1">
      <c r="A28" s="3" t="s">
        <v>35</v>
      </c>
      <c r="B28" s="5">
        <v>71.0</v>
      </c>
      <c r="C28" s="6">
        <v>0.0806</v>
      </c>
      <c r="D28" s="6">
        <v>0.0</v>
      </c>
      <c r="E28" s="6">
        <v>0.0</v>
      </c>
      <c r="F28" s="6">
        <v>0.1452</v>
      </c>
      <c r="G28" s="6">
        <v>0.1111</v>
      </c>
      <c r="H28" s="4">
        <v>0.0028587962962962963</v>
      </c>
      <c r="I28" s="4">
        <v>3.2407407407407406E-4</v>
      </c>
      <c r="J28" s="4">
        <v>2.314814814814815E-4</v>
      </c>
    </row>
    <row r="29" ht="15.75" customHeight="1">
      <c r="A29" s="3" t="s">
        <v>36</v>
      </c>
      <c r="B29" s="5">
        <v>70.0</v>
      </c>
      <c r="C29" s="6">
        <v>0.0806</v>
      </c>
      <c r="D29" s="6">
        <v>0.0</v>
      </c>
      <c r="E29" s="6">
        <v>0.0</v>
      </c>
      <c r="F29" s="6">
        <v>0.1452</v>
      </c>
      <c r="G29" s="6">
        <v>0.1111</v>
      </c>
      <c r="H29" s="4">
        <v>0.0028587962962962963</v>
      </c>
      <c r="I29" s="4">
        <v>3.2407407407407406E-4</v>
      </c>
      <c r="J29" s="4">
        <v>2.314814814814815E-4</v>
      </c>
    </row>
    <row r="30" ht="15.75" customHeight="1">
      <c r="A30" s="3" t="s">
        <v>37</v>
      </c>
      <c r="B30" s="5">
        <v>69.0</v>
      </c>
      <c r="C30" s="6">
        <v>0.1385</v>
      </c>
      <c r="D30" s="6">
        <v>0.0</v>
      </c>
      <c r="E30" s="6">
        <v>0.0149</v>
      </c>
      <c r="F30" s="6">
        <v>0.2154</v>
      </c>
      <c r="G30" s="6">
        <v>0.0</v>
      </c>
      <c r="H30" s="4">
        <v>0.0028587962962962963</v>
      </c>
      <c r="I30" s="4">
        <v>6.944444444444445E-4</v>
      </c>
      <c r="J30" s="4">
        <v>1.6203703703703703E-4</v>
      </c>
    </row>
    <row r="31" ht="15.75" customHeight="1">
      <c r="A31" s="3" t="s">
        <v>38</v>
      </c>
      <c r="B31" s="5">
        <v>68.0</v>
      </c>
      <c r="C31" s="6">
        <v>0.1385</v>
      </c>
      <c r="D31" s="6">
        <v>0.0</v>
      </c>
      <c r="E31" s="6">
        <v>0.0149</v>
      </c>
      <c r="F31" s="6">
        <v>0.2154</v>
      </c>
      <c r="G31" s="6">
        <v>0.0</v>
      </c>
      <c r="H31" s="4">
        <v>0.0028587962962962963</v>
      </c>
      <c r="I31" s="4">
        <v>6.944444444444445E-4</v>
      </c>
      <c r="J31" s="4">
        <v>1.6203703703703703E-4</v>
      </c>
    </row>
    <row r="32" ht="15.75" customHeight="1">
      <c r="A32" s="3" t="s">
        <v>39</v>
      </c>
      <c r="B32" s="5">
        <v>67.0</v>
      </c>
      <c r="C32" s="6">
        <v>0.0175</v>
      </c>
      <c r="D32" s="6">
        <v>0.0</v>
      </c>
      <c r="E32" s="6">
        <v>0.0</v>
      </c>
      <c r="F32" s="6">
        <v>0.0526</v>
      </c>
      <c r="G32" s="6">
        <v>0.0</v>
      </c>
      <c r="H32" s="4">
        <v>0.002928240740740741</v>
      </c>
      <c r="I32" s="4">
        <v>2.3148148148148147E-5</v>
      </c>
      <c r="J32" s="4">
        <v>1.0416666666666667E-4</v>
      </c>
    </row>
    <row r="33" ht="15.75" customHeight="1">
      <c r="A33" s="3" t="s">
        <v>40</v>
      </c>
      <c r="B33" s="5">
        <v>66.0</v>
      </c>
      <c r="C33" s="6">
        <v>0.0175</v>
      </c>
      <c r="D33" s="6">
        <v>0.0</v>
      </c>
      <c r="E33" s="6">
        <v>0.0</v>
      </c>
      <c r="F33" s="6">
        <v>0.0526</v>
      </c>
      <c r="G33" s="6">
        <v>0.0</v>
      </c>
      <c r="H33" s="4">
        <v>0.002928240740740741</v>
      </c>
      <c r="I33" s="4">
        <v>2.3148148148148147E-5</v>
      </c>
      <c r="J33" s="4">
        <v>1.0416666666666667E-4</v>
      </c>
    </row>
    <row r="34" ht="15.75" customHeight="1">
      <c r="A34" s="3" t="s">
        <v>41</v>
      </c>
      <c r="B34" s="5">
        <v>65.0</v>
      </c>
      <c r="C34" s="6">
        <v>0.0896</v>
      </c>
      <c r="D34" s="6">
        <v>0.0</v>
      </c>
      <c r="E34" s="6">
        <v>0.0147</v>
      </c>
      <c r="F34" s="6">
        <v>0.1194</v>
      </c>
      <c r="G34" s="6">
        <v>0.125</v>
      </c>
      <c r="H34" s="4">
        <v>0.0028472222222222223</v>
      </c>
      <c r="I34" s="4">
        <v>0.0</v>
      </c>
      <c r="J34" s="4">
        <v>6.944444444444444E-5</v>
      </c>
    </row>
    <row r="35" ht="15.75" customHeight="1">
      <c r="A35" s="3" t="s">
        <v>42</v>
      </c>
      <c r="B35" s="5">
        <v>64.0</v>
      </c>
      <c r="C35" s="6">
        <v>0.0896</v>
      </c>
      <c r="D35" s="6">
        <v>0.0</v>
      </c>
      <c r="E35" s="6">
        <v>0.0147</v>
      </c>
      <c r="F35" s="6">
        <v>0.1194</v>
      </c>
      <c r="G35" s="6">
        <v>0.125</v>
      </c>
      <c r="H35" s="4">
        <v>0.0028472222222222223</v>
      </c>
      <c r="I35" s="4">
        <v>0.0</v>
      </c>
      <c r="J35" s="4">
        <v>6.944444444444444E-5</v>
      </c>
    </row>
    <row r="36" ht="15.75" customHeight="1">
      <c r="A36" s="3" t="s">
        <v>43</v>
      </c>
      <c r="B36" s="5">
        <v>63.0</v>
      </c>
      <c r="C36" s="6">
        <v>0.1406</v>
      </c>
      <c r="D36" s="6">
        <v>0.0</v>
      </c>
      <c r="E36" s="6">
        <v>0.0</v>
      </c>
      <c r="F36" s="6">
        <v>0.1719</v>
      </c>
      <c r="G36" s="6">
        <v>0.0</v>
      </c>
      <c r="H36" s="4">
        <v>0.0030902777777777777</v>
      </c>
      <c r="I36" s="4">
        <v>0.0</v>
      </c>
      <c r="J36" s="4">
        <v>3.472222222222222E-5</v>
      </c>
    </row>
    <row r="37" ht="15.75" customHeight="1">
      <c r="A37" s="3" t="s">
        <v>44</v>
      </c>
      <c r="B37" s="5">
        <v>62.0</v>
      </c>
      <c r="C37" s="6">
        <v>0.1406</v>
      </c>
      <c r="D37" s="6">
        <v>0.0</v>
      </c>
      <c r="E37" s="6">
        <v>0.0</v>
      </c>
      <c r="F37" s="6">
        <v>0.1719</v>
      </c>
      <c r="G37" s="6">
        <v>0.0</v>
      </c>
      <c r="H37" s="4">
        <v>0.0030902777777777777</v>
      </c>
      <c r="I37" s="4">
        <v>0.0</v>
      </c>
      <c r="J37" s="4">
        <v>3.472222222222222E-5</v>
      </c>
    </row>
    <row r="38" ht="15.75" customHeight="1">
      <c r="A38" s="3" t="s">
        <v>45</v>
      </c>
      <c r="B38" s="5">
        <v>61.0</v>
      </c>
      <c r="C38" s="6">
        <v>0.1034</v>
      </c>
      <c r="D38" s="6">
        <v>0.0</v>
      </c>
      <c r="E38" s="6">
        <v>0.0</v>
      </c>
      <c r="F38" s="6">
        <v>0.2414</v>
      </c>
      <c r="G38" s="6">
        <v>0.0</v>
      </c>
      <c r="H38" s="4">
        <v>0.005509259259259259</v>
      </c>
      <c r="I38" s="4">
        <v>0.0010648148148148149</v>
      </c>
      <c r="J38" s="4">
        <v>2.8935185185185184E-4</v>
      </c>
    </row>
    <row r="39" ht="15.75" customHeight="1">
      <c r="A39" s="3" t="s">
        <v>46</v>
      </c>
      <c r="B39" s="5">
        <v>60.0</v>
      </c>
      <c r="C39" s="6">
        <v>0.1034</v>
      </c>
      <c r="D39" s="6">
        <v>0.0</v>
      </c>
      <c r="E39" s="6">
        <v>0.0</v>
      </c>
      <c r="F39" s="6">
        <v>0.2414</v>
      </c>
      <c r="G39" s="6">
        <v>0.0</v>
      </c>
      <c r="H39" s="4">
        <v>0.005509259259259259</v>
      </c>
      <c r="I39" s="4">
        <v>0.0010648148148148149</v>
      </c>
      <c r="J39" s="4">
        <v>2.8935185185185184E-4</v>
      </c>
    </row>
    <row r="40" ht="15.75" customHeight="1">
      <c r="A40" s="3" t="s">
        <v>47</v>
      </c>
      <c r="B40" s="5">
        <v>59.0</v>
      </c>
      <c r="C40" s="6">
        <v>0.0735</v>
      </c>
      <c r="D40" s="6">
        <v>0.0</v>
      </c>
      <c r="E40" s="6">
        <v>0.0</v>
      </c>
      <c r="F40" s="6">
        <v>0.1176</v>
      </c>
      <c r="G40" s="6">
        <v>0.0</v>
      </c>
      <c r="H40" s="4">
        <v>0.0028703703703703703</v>
      </c>
      <c r="I40" s="4">
        <v>8.101851851851852E-5</v>
      </c>
      <c r="J40" s="4">
        <v>5.787037037037037E-5</v>
      </c>
    </row>
    <row r="41" ht="15.75" customHeight="1">
      <c r="A41" s="3" t="s">
        <v>48</v>
      </c>
      <c r="B41" s="5">
        <v>58.0</v>
      </c>
      <c r="C41" s="6">
        <v>0.0735</v>
      </c>
      <c r="D41" s="6">
        <v>0.0</v>
      </c>
      <c r="E41" s="6">
        <v>0.0</v>
      </c>
      <c r="F41" s="6">
        <v>0.1176</v>
      </c>
      <c r="G41" s="6">
        <v>0.0</v>
      </c>
      <c r="H41" s="4">
        <v>0.0028703703703703703</v>
      </c>
      <c r="I41" s="4">
        <v>8.101851851851852E-5</v>
      </c>
      <c r="J41" s="4">
        <v>5.787037037037037E-5</v>
      </c>
    </row>
    <row r="42" ht="15.75" customHeight="1">
      <c r="A42" s="3" t="s">
        <v>49</v>
      </c>
      <c r="B42" s="5">
        <v>57.0</v>
      </c>
      <c r="C42" s="6">
        <v>0.0492</v>
      </c>
      <c r="D42" s="6">
        <v>0.0</v>
      </c>
      <c r="E42" s="6">
        <v>0.0</v>
      </c>
      <c r="F42" s="6">
        <v>0.0984</v>
      </c>
      <c r="G42" s="6">
        <v>0.0</v>
      </c>
      <c r="H42" s="4">
        <v>0.00318287037037037</v>
      </c>
      <c r="I42" s="4">
        <v>0.0</v>
      </c>
      <c r="J42" s="4">
        <v>4.6296296296296294E-5</v>
      </c>
    </row>
    <row r="43" ht="15.75" customHeight="1">
      <c r="A43" s="3" t="s">
        <v>50</v>
      </c>
      <c r="B43" s="5">
        <v>56.0</v>
      </c>
      <c r="C43" s="6">
        <v>0.0492</v>
      </c>
      <c r="D43" s="6">
        <v>0.0</v>
      </c>
      <c r="E43" s="6">
        <v>0.0</v>
      </c>
      <c r="F43" s="6">
        <v>0.0984</v>
      </c>
      <c r="G43" s="6">
        <v>0.0</v>
      </c>
      <c r="H43" s="4">
        <v>0.00318287037037037</v>
      </c>
      <c r="I43" s="4">
        <v>0.0</v>
      </c>
      <c r="J43" s="4">
        <v>4.6296296296296294E-5</v>
      </c>
    </row>
    <row r="44" ht="15.75" customHeight="1">
      <c r="A44" s="3" t="s">
        <v>51</v>
      </c>
      <c r="B44" s="5">
        <v>55.0</v>
      </c>
      <c r="C44" s="6">
        <v>0.0156</v>
      </c>
      <c r="D44" s="6">
        <v>0.0</v>
      </c>
      <c r="E44" s="6">
        <v>0.0</v>
      </c>
      <c r="F44" s="6">
        <v>0.0156</v>
      </c>
      <c r="G44" s="6">
        <v>0.0</v>
      </c>
      <c r="H44" s="4">
        <v>0.003171296296296296</v>
      </c>
      <c r="I44" s="4">
        <v>3.472222222222222E-5</v>
      </c>
      <c r="J44" s="4">
        <v>5.787037037037037E-5</v>
      </c>
    </row>
    <row r="45" ht="15.75" customHeight="1">
      <c r="A45" s="3" t="s">
        <v>52</v>
      </c>
      <c r="B45" s="5">
        <v>54.0</v>
      </c>
      <c r="C45" s="6">
        <v>0.0156</v>
      </c>
      <c r="D45" s="6">
        <v>0.0</v>
      </c>
      <c r="E45" s="6">
        <v>0.0</v>
      </c>
      <c r="F45" s="6">
        <v>0.0156</v>
      </c>
      <c r="G45" s="6">
        <v>0.0</v>
      </c>
      <c r="H45" s="4">
        <v>0.003171296296296296</v>
      </c>
      <c r="I45" s="4">
        <v>3.472222222222222E-5</v>
      </c>
      <c r="J45" s="4">
        <v>5.787037037037037E-5</v>
      </c>
    </row>
    <row r="46" ht="15.75" customHeight="1">
      <c r="A46" s="3" t="s">
        <v>53</v>
      </c>
      <c r="B46" s="5">
        <v>53.0</v>
      </c>
      <c r="C46" s="6">
        <v>0.0357</v>
      </c>
      <c r="D46" s="6">
        <v>0.0</v>
      </c>
      <c r="E46" s="6">
        <v>0.0</v>
      </c>
      <c r="F46" s="6">
        <v>0.0536</v>
      </c>
      <c r="G46" s="6">
        <v>0.0</v>
      </c>
      <c r="H46" s="4">
        <v>0.002662037037037037</v>
      </c>
      <c r="I46" s="4">
        <v>4.7453703703703704E-4</v>
      </c>
      <c r="J46" s="4">
        <v>3.935185185185185E-4</v>
      </c>
    </row>
    <row r="47" ht="15.75" customHeight="1">
      <c r="A47" s="3" t="s">
        <v>54</v>
      </c>
      <c r="B47" s="5">
        <v>52.0</v>
      </c>
      <c r="C47" s="6">
        <v>0.0357</v>
      </c>
      <c r="D47" s="6">
        <v>0.0</v>
      </c>
      <c r="E47" s="6">
        <v>0.0</v>
      </c>
      <c r="F47" s="6">
        <v>0.0536</v>
      </c>
      <c r="G47" s="6">
        <v>0.0</v>
      </c>
      <c r="H47" s="4">
        <v>0.002662037037037037</v>
      </c>
      <c r="I47" s="4">
        <v>4.7453703703703704E-4</v>
      </c>
      <c r="J47" s="4">
        <v>3.935185185185185E-4</v>
      </c>
    </row>
    <row r="48" ht="15.75" customHeight="1">
      <c r="A48" s="3" t="s">
        <v>55</v>
      </c>
      <c r="B48" s="5">
        <v>51.0</v>
      </c>
      <c r="C48" s="6">
        <v>0.0345</v>
      </c>
      <c r="D48" s="6">
        <v>0.0</v>
      </c>
      <c r="E48" s="6">
        <v>0.0</v>
      </c>
      <c r="F48" s="6">
        <v>0.1034</v>
      </c>
      <c r="G48" s="6">
        <v>0.1667</v>
      </c>
      <c r="H48" s="4">
        <v>0.0028356481481481483</v>
      </c>
      <c r="I48" s="4">
        <v>6.944444444444444E-5</v>
      </c>
      <c r="J48" s="4">
        <v>1.1574074074074075E-4</v>
      </c>
    </row>
    <row r="49" ht="15.75" customHeight="1">
      <c r="A49" s="3" t="s">
        <v>56</v>
      </c>
      <c r="B49" s="5">
        <v>50.0</v>
      </c>
      <c r="C49" s="6">
        <v>0.0345</v>
      </c>
      <c r="D49" s="6">
        <v>0.0</v>
      </c>
      <c r="E49" s="6">
        <v>0.0</v>
      </c>
      <c r="F49" s="6">
        <v>0.1034</v>
      </c>
      <c r="G49" s="6">
        <v>0.1667</v>
      </c>
      <c r="H49" s="4">
        <v>0.0028356481481481483</v>
      </c>
      <c r="I49" s="4">
        <v>6.944444444444444E-5</v>
      </c>
      <c r="J49" s="4">
        <v>1.1574074074074075E-4</v>
      </c>
    </row>
    <row r="50" ht="15.75" customHeight="1">
      <c r="A50" s="3" t="s">
        <v>57</v>
      </c>
      <c r="B50" s="5">
        <v>49.0</v>
      </c>
      <c r="C50" s="6">
        <v>0.0435</v>
      </c>
      <c r="D50" s="6">
        <v>0.0</v>
      </c>
      <c r="E50" s="6">
        <v>0.0548</v>
      </c>
      <c r="F50" s="6">
        <v>0.0725</v>
      </c>
      <c r="G50" s="6">
        <v>0.2</v>
      </c>
      <c r="H50" s="4">
        <v>0.0027430555555555554</v>
      </c>
      <c r="I50" s="4">
        <v>0.0010300925925925926</v>
      </c>
      <c r="J50" s="4">
        <v>2.199074074074074E-4</v>
      </c>
    </row>
    <row r="51" ht="15.75" customHeight="1">
      <c r="A51" s="3" t="s">
        <v>58</v>
      </c>
      <c r="B51" s="5">
        <v>48.0</v>
      </c>
      <c r="C51" s="6">
        <v>0.0435</v>
      </c>
      <c r="D51" s="6">
        <v>0.0</v>
      </c>
      <c r="E51" s="6">
        <v>0.0548</v>
      </c>
      <c r="F51" s="6">
        <v>0.0725</v>
      </c>
      <c r="G51" s="6">
        <v>0.2</v>
      </c>
      <c r="H51" s="4">
        <v>0.0027430555555555554</v>
      </c>
      <c r="I51" s="4">
        <v>0.0010300925925925926</v>
      </c>
      <c r="J51" s="4">
        <v>2.199074074074074E-4</v>
      </c>
    </row>
    <row r="52" ht="15.75" customHeight="1">
      <c r="A52" s="3" t="s">
        <v>59</v>
      </c>
      <c r="B52" s="5">
        <v>47.0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4">
        <v>0.003321759259259259</v>
      </c>
      <c r="I52" s="7"/>
      <c r="J52" s="4">
        <v>9.259259259259259E-5</v>
      </c>
    </row>
    <row r="53" ht="15.75" customHeight="1">
      <c r="A53" s="3" t="s">
        <v>60</v>
      </c>
      <c r="B53" s="5">
        <v>46.0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4">
        <v>0.003321759259259259</v>
      </c>
      <c r="I53" s="7"/>
      <c r="J53" s="4">
        <v>9.259259259259259E-5</v>
      </c>
    </row>
    <row r="54" ht="15.75" customHeight="1">
      <c r="A54" s="3" t="s">
        <v>61</v>
      </c>
      <c r="B54" s="5">
        <v>45.0</v>
      </c>
      <c r="C54" s="6">
        <v>0.1111</v>
      </c>
      <c r="D54" s="6">
        <v>0.0</v>
      </c>
      <c r="E54" s="6">
        <v>0.0</v>
      </c>
      <c r="F54" s="6">
        <v>0.2222</v>
      </c>
      <c r="G54" s="6">
        <v>0.0</v>
      </c>
      <c r="H54" s="4">
        <v>0.0027083333333333334</v>
      </c>
      <c r="I54" s="4">
        <v>2.662037037037037E-4</v>
      </c>
      <c r="J54" s="4">
        <v>4.6296296296296294E-5</v>
      </c>
    </row>
    <row r="55" ht="15.75" customHeight="1">
      <c r="A55" s="3" t="s">
        <v>62</v>
      </c>
      <c r="B55" s="5">
        <v>44.0</v>
      </c>
      <c r="C55" s="6">
        <v>0.1111</v>
      </c>
      <c r="D55" s="6">
        <v>0.0</v>
      </c>
      <c r="E55" s="6">
        <v>0.0</v>
      </c>
      <c r="F55" s="6">
        <v>0.2222</v>
      </c>
      <c r="G55" s="6">
        <v>0.0</v>
      </c>
      <c r="H55" s="4">
        <v>0.0027083333333333334</v>
      </c>
      <c r="I55" s="4">
        <v>2.662037037037037E-4</v>
      </c>
      <c r="J55" s="4">
        <v>4.6296296296296294E-5</v>
      </c>
    </row>
    <row r="56" ht="15.75" customHeight="1">
      <c r="A56" s="3" t="s">
        <v>63</v>
      </c>
      <c r="B56" s="5">
        <v>43.0</v>
      </c>
      <c r="C56" s="6">
        <v>0.1449</v>
      </c>
      <c r="D56" s="6">
        <v>0.0</v>
      </c>
      <c r="E56" s="6">
        <v>0.0</v>
      </c>
      <c r="F56" s="6">
        <v>0.2029</v>
      </c>
      <c r="G56" s="6">
        <v>0.0714</v>
      </c>
      <c r="H56" s="4">
        <v>0.002662037037037037</v>
      </c>
      <c r="I56" s="4">
        <v>1.9675925925925926E-4</v>
      </c>
      <c r="J56" s="4">
        <v>3.356481481481481E-4</v>
      </c>
    </row>
    <row r="57" ht="15.75" customHeight="1">
      <c r="A57" s="3" t="s">
        <v>64</v>
      </c>
      <c r="B57" s="5">
        <v>42.0</v>
      </c>
      <c r="C57" s="6">
        <v>0.1449</v>
      </c>
      <c r="D57" s="6">
        <v>0.0</v>
      </c>
      <c r="E57" s="6">
        <v>0.0</v>
      </c>
      <c r="F57" s="6">
        <v>0.2029</v>
      </c>
      <c r="G57" s="6">
        <v>0.0714</v>
      </c>
      <c r="H57" s="4">
        <v>0.002662037037037037</v>
      </c>
      <c r="I57" s="4">
        <v>1.9675925925925926E-4</v>
      </c>
      <c r="J57" s="4">
        <v>3.356481481481481E-4</v>
      </c>
    </row>
    <row r="58" ht="15.75" customHeight="1">
      <c r="A58" s="3" t="s">
        <v>65</v>
      </c>
      <c r="B58" s="5">
        <v>41.0</v>
      </c>
      <c r="C58" s="6">
        <v>0.0678</v>
      </c>
      <c r="D58" s="6">
        <v>0.0</v>
      </c>
      <c r="E58" s="6">
        <v>0.0</v>
      </c>
      <c r="F58" s="6">
        <v>0.1186</v>
      </c>
      <c r="G58" s="6">
        <v>0.0</v>
      </c>
      <c r="H58" s="4">
        <v>0.002627314814814815</v>
      </c>
      <c r="I58" s="4">
        <v>2.0833333333333335E-4</v>
      </c>
      <c r="J58" s="4">
        <v>3.125E-4</v>
      </c>
    </row>
    <row r="59" ht="15.75" customHeight="1">
      <c r="A59" s="3" t="s">
        <v>66</v>
      </c>
      <c r="B59" s="5">
        <v>40.0</v>
      </c>
      <c r="C59" s="6">
        <v>0.0678</v>
      </c>
      <c r="D59" s="6">
        <v>0.0</v>
      </c>
      <c r="E59" s="6">
        <v>0.0</v>
      </c>
      <c r="F59" s="6">
        <v>0.1186</v>
      </c>
      <c r="G59" s="6">
        <v>0.0</v>
      </c>
      <c r="H59" s="4">
        <v>0.002627314814814815</v>
      </c>
      <c r="I59" s="4">
        <v>2.0833333333333335E-4</v>
      </c>
      <c r="J59" s="4">
        <v>3.125E-4</v>
      </c>
    </row>
    <row r="60" ht="15.75" customHeight="1">
      <c r="A60" s="3" t="s">
        <v>67</v>
      </c>
      <c r="B60" s="5">
        <v>39.0</v>
      </c>
      <c r="C60" s="6">
        <v>0.0263</v>
      </c>
      <c r="D60" s="6">
        <v>0.0</v>
      </c>
      <c r="E60" s="6">
        <v>0.0494</v>
      </c>
      <c r="F60" s="6">
        <v>0.0789</v>
      </c>
      <c r="G60" s="6">
        <v>0.1667</v>
      </c>
      <c r="H60" s="4">
        <v>0.0021643518518518518</v>
      </c>
      <c r="I60" s="4">
        <v>9.375E-4</v>
      </c>
      <c r="J60" s="4">
        <v>2.199074074074074E-4</v>
      </c>
    </row>
    <row r="61" ht="15.75" customHeight="1">
      <c r="A61" s="3" t="s">
        <v>68</v>
      </c>
      <c r="B61" s="5">
        <v>38.0</v>
      </c>
      <c r="C61" s="6">
        <v>0.0263</v>
      </c>
      <c r="D61" s="6">
        <v>0.0</v>
      </c>
      <c r="E61" s="6">
        <v>0.0494</v>
      </c>
      <c r="F61" s="6">
        <v>0.0789</v>
      </c>
      <c r="G61" s="6">
        <v>0.1667</v>
      </c>
      <c r="H61" s="4">
        <v>0.0021643518518518518</v>
      </c>
      <c r="I61" s="4">
        <v>9.375E-4</v>
      </c>
      <c r="J61" s="4">
        <v>2.199074074074074E-4</v>
      </c>
    </row>
    <row r="62" ht="15.75" customHeight="1">
      <c r="A62" s="3" t="s">
        <v>69</v>
      </c>
      <c r="B62" s="5">
        <v>37.0</v>
      </c>
      <c r="C62" s="6">
        <v>0.038</v>
      </c>
      <c r="D62" s="6">
        <v>0.0</v>
      </c>
      <c r="E62" s="6">
        <v>0.0</v>
      </c>
      <c r="F62" s="6">
        <v>0.0759</v>
      </c>
      <c r="G62" s="6">
        <v>0.1667</v>
      </c>
      <c r="H62" s="4">
        <v>0.0024074074074074076</v>
      </c>
      <c r="I62" s="4">
        <v>1.9675925925925926E-4</v>
      </c>
      <c r="J62" s="4">
        <v>2.662037037037037E-4</v>
      </c>
    </row>
    <row r="63" ht="15.75" customHeight="1">
      <c r="A63" s="3" t="s">
        <v>70</v>
      </c>
      <c r="B63" s="5">
        <v>36.0</v>
      </c>
      <c r="C63" s="6">
        <v>0.038</v>
      </c>
      <c r="D63" s="6">
        <v>0.0</v>
      </c>
      <c r="E63" s="6">
        <v>0.0</v>
      </c>
      <c r="F63" s="6">
        <v>0.0759</v>
      </c>
      <c r="G63" s="6">
        <v>0.1667</v>
      </c>
      <c r="H63" s="4">
        <v>0.0024074074074074076</v>
      </c>
      <c r="I63" s="4">
        <v>1.9675925925925926E-4</v>
      </c>
      <c r="J63" s="4">
        <v>2.662037037037037E-4</v>
      </c>
    </row>
    <row r="64" ht="15.75" customHeight="1">
      <c r="A64" s="3" t="s">
        <v>71</v>
      </c>
      <c r="B64" s="5">
        <v>35.0</v>
      </c>
      <c r="C64" s="6">
        <v>0.0877</v>
      </c>
      <c r="D64" s="6">
        <v>0.0</v>
      </c>
      <c r="E64" s="6">
        <v>0.0</v>
      </c>
      <c r="F64" s="6">
        <v>0.1053</v>
      </c>
      <c r="G64" s="6">
        <v>0.0</v>
      </c>
      <c r="H64" s="4">
        <v>0.0031134259259259257</v>
      </c>
      <c r="I64" s="4">
        <v>1.9675925925925926E-4</v>
      </c>
      <c r="J64" s="4">
        <v>5.787037037037037E-4</v>
      </c>
    </row>
    <row r="65" ht="15.75" customHeight="1">
      <c r="A65" s="3" t="s">
        <v>72</v>
      </c>
      <c r="B65" s="5">
        <v>34.0</v>
      </c>
      <c r="C65" s="6">
        <v>0.0877</v>
      </c>
      <c r="D65" s="6">
        <v>0.0</v>
      </c>
      <c r="E65" s="6">
        <v>0.0</v>
      </c>
      <c r="F65" s="6">
        <v>0.1053</v>
      </c>
      <c r="G65" s="6">
        <v>0.0</v>
      </c>
      <c r="H65" s="4">
        <v>0.0031134259259259257</v>
      </c>
      <c r="I65" s="4">
        <v>1.9675925925925926E-4</v>
      </c>
      <c r="J65" s="4">
        <v>5.787037037037037E-4</v>
      </c>
    </row>
    <row r="66" ht="15.75" customHeight="1">
      <c r="A66" s="3" t="s">
        <v>73</v>
      </c>
      <c r="B66" s="5">
        <v>33.0</v>
      </c>
      <c r="C66" s="6">
        <v>0.1077</v>
      </c>
      <c r="D66" s="6">
        <v>0.0</v>
      </c>
      <c r="E66" s="6">
        <v>0.0</v>
      </c>
      <c r="F66" s="6">
        <v>0.1692</v>
      </c>
      <c r="G66" s="6">
        <v>0.0</v>
      </c>
      <c r="H66" s="4">
        <v>0.002951388888888889</v>
      </c>
      <c r="I66" s="4">
        <v>3.472222222222222E-5</v>
      </c>
      <c r="J66" s="4">
        <v>1.1574074074074075E-4</v>
      </c>
    </row>
    <row r="67" ht="15.75" customHeight="1">
      <c r="A67" s="3" t="s">
        <v>74</v>
      </c>
      <c r="B67" s="5">
        <v>32.0</v>
      </c>
      <c r="C67" s="6">
        <v>0.1077</v>
      </c>
      <c r="D67" s="6">
        <v>0.0</v>
      </c>
      <c r="E67" s="6">
        <v>0.0</v>
      </c>
      <c r="F67" s="6">
        <v>0.1692</v>
      </c>
      <c r="G67" s="6">
        <v>0.0</v>
      </c>
      <c r="H67" s="4">
        <v>0.002951388888888889</v>
      </c>
      <c r="I67" s="4">
        <v>3.472222222222222E-5</v>
      </c>
      <c r="J67" s="4">
        <v>1.1574074074074075E-4</v>
      </c>
    </row>
    <row r="68" ht="15.75" customHeight="1">
      <c r="A68" s="3" t="s">
        <v>75</v>
      </c>
      <c r="B68" s="5">
        <v>31.0</v>
      </c>
      <c r="C68" s="6">
        <v>0.0735</v>
      </c>
      <c r="D68" s="6">
        <v>0.0</v>
      </c>
      <c r="E68" s="6">
        <v>0.0</v>
      </c>
      <c r="F68" s="6">
        <v>0.1324</v>
      </c>
      <c r="G68" s="6">
        <v>0.0</v>
      </c>
      <c r="H68" s="4">
        <v>0.0029745370370370373</v>
      </c>
      <c r="I68" s="4">
        <v>0.0</v>
      </c>
      <c r="J68" s="4">
        <v>1.0416666666666667E-4</v>
      </c>
    </row>
    <row r="69" ht="15.75" customHeight="1">
      <c r="A69" s="3" t="s">
        <v>76</v>
      </c>
      <c r="B69" s="5">
        <v>30.0</v>
      </c>
      <c r="C69" s="6">
        <v>0.0735</v>
      </c>
      <c r="D69" s="6">
        <v>0.0</v>
      </c>
      <c r="E69" s="6">
        <v>0.0</v>
      </c>
      <c r="F69" s="6">
        <v>0.1324</v>
      </c>
      <c r="G69" s="6">
        <v>0.0</v>
      </c>
      <c r="H69" s="4">
        <v>0.0029745370370370373</v>
      </c>
      <c r="I69" s="4">
        <v>0.0</v>
      </c>
      <c r="J69" s="4">
        <v>1.0416666666666667E-4</v>
      </c>
    </row>
    <row r="70" ht="15.75" customHeight="1">
      <c r="A70" s="3" t="s">
        <v>77</v>
      </c>
      <c r="B70" s="5">
        <v>29.0</v>
      </c>
      <c r="C70" s="6">
        <v>0.05</v>
      </c>
      <c r="D70" s="6">
        <v>0.0</v>
      </c>
      <c r="E70" s="6">
        <v>0.0</v>
      </c>
      <c r="F70" s="6">
        <v>0.1</v>
      </c>
      <c r="G70" s="6">
        <v>0.0</v>
      </c>
      <c r="H70" s="4">
        <v>0.0029861111111111113</v>
      </c>
      <c r="I70" s="4">
        <v>1.1574074074074073E-5</v>
      </c>
      <c r="J70" s="4">
        <v>8.101851851851852E-5</v>
      </c>
    </row>
    <row r="71" ht="15.75" customHeight="1">
      <c r="A71" s="3" t="s">
        <v>78</v>
      </c>
      <c r="B71" s="5">
        <v>28.0</v>
      </c>
      <c r="C71" s="6">
        <v>0.05</v>
      </c>
      <c r="D71" s="6">
        <v>0.0</v>
      </c>
      <c r="E71" s="6">
        <v>0.0</v>
      </c>
      <c r="F71" s="6">
        <v>0.1</v>
      </c>
      <c r="G71" s="6">
        <v>0.0</v>
      </c>
      <c r="H71" s="4">
        <v>0.0029861111111111113</v>
      </c>
      <c r="I71" s="4">
        <v>1.1574074074074073E-5</v>
      </c>
      <c r="J71" s="4">
        <v>8.101851851851852E-5</v>
      </c>
    </row>
    <row r="72" ht="15.75" customHeight="1">
      <c r="A72" s="3" t="s">
        <v>79</v>
      </c>
      <c r="B72" s="5">
        <v>29.0</v>
      </c>
      <c r="C72" s="6">
        <v>0.0714</v>
      </c>
      <c r="D72" s="6">
        <v>0.0</v>
      </c>
      <c r="E72" s="6">
        <v>0.0</v>
      </c>
      <c r="F72" s="6">
        <v>0.0893</v>
      </c>
      <c r="G72" s="6">
        <v>0.0</v>
      </c>
      <c r="H72" s="4">
        <v>0.0028935185185185184</v>
      </c>
      <c r="I72" s="4">
        <v>3.472222222222222E-5</v>
      </c>
      <c r="J72" s="4">
        <v>8.101851851851852E-5</v>
      </c>
    </row>
    <row r="73" ht="15.75" customHeight="1">
      <c r="A73" s="3" t="s">
        <v>80</v>
      </c>
      <c r="B73" s="5">
        <v>30.0</v>
      </c>
      <c r="C73" s="6">
        <v>0.0714</v>
      </c>
      <c r="D73" s="6">
        <v>0.0</v>
      </c>
      <c r="E73" s="6">
        <v>0.0</v>
      </c>
      <c r="F73" s="6">
        <v>0.0893</v>
      </c>
      <c r="G73" s="6">
        <v>0.0</v>
      </c>
      <c r="H73" s="4">
        <v>0.0028935185185185184</v>
      </c>
      <c r="I73" s="4">
        <v>3.472222222222222E-5</v>
      </c>
      <c r="J73" s="4">
        <v>8.101851851851852E-5</v>
      </c>
    </row>
    <row r="74" ht="15.75" customHeight="1">
      <c r="A74" s="3" t="s">
        <v>81</v>
      </c>
      <c r="B74" s="5">
        <v>31.0</v>
      </c>
      <c r="C74" s="6">
        <v>0.0769</v>
      </c>
      <c r="D74" s="6">
        <v>0.0</v>
      </c>
      <c r="E74" s="6">
        <v>0.0</v>
      </c>
      <c r="F74" s="6">
        <v>0.0769</v>
      </c>
      <c r="G74" s="6">
        <v>0.0</v>
      </c>
      <c r="H74" s="4">
        <v>0.0024652777777777776</v>
      </c>
      <c r="I74" s="4">
        <v>0.0</v>
      </c>
      <c r="J74" s="4">
        <v>1.0416666666666667E-4</v>
      </c>
    </row>
    <row r="75" ht="15.75" customHeight="1">
      <c r="A75" s="3" t="s">
        <v>82</v>
      </c>
      <c r="B75" s="5">
        <v>32.0</v>
      </c>
      <c r="C75" s="6">
        <v>0.0769</v>
      </c>
      <c r="D75" s="6">
        <v>0.0</v>
      </c>
      <c r="E75" s="6">
        <v>0.0</v>
      </c>
      <c r="F75" s="6">
        <v>0.0769</v>
      </c>
      <c r="G75" s="6">
        <v>0.0</v>
      </c>
      <c r="H75" s="4">
        <v>0.0024652777777777776</v>
      </c>
      <c r="I75" s="4">
        <v>0.0</v>
      </c>
      <c r="J75" s="4">
        <v>1.0416666666666667E-4</v>
      </c>
    </row>
    <row r="76" ht="15.75" customHeight="1">
      <c r="A76" s="3" t="s">
        <v>83</v>
      </c>
      <c r="B76" s="5">
        <v>33.0</v>
      </c>
      <c r="C76" s="6">
        <v>0.0541</v>
      </c>
      <c r="D76" s="6">
        <v>0.0</v>
      </c>
      <c r="E76" s="6">
        <v>0.0</v>
      </c>
      <c r="F76" s="6">
        <v>0.0811</v>
      </c>
      <c r="G76" s="6">
        <v>0.0</v>
      </c>
      <c r="H76" s="4">
        <v>0.002523148148148148</v>
      </c>
      <c r="I76" s="4">
        <v>2.0833333333333335E-4</v>
      </c>
      <c r="J76" s="4">
        <v>2.314814814814815E-4</v>
      </c>
    </row>
    <row r="77" ht="15.75" customHeight="1">
      <c r="A77" s="3" t="s">
        <v>84</v>
      </c>
      <c r="B77" s="5">
        <v>34.0</v>
      </c>
      <c r="C77" s="6">
        <v>0.0541</v>
      </c>
      <c r="D77" s="6">
        <v>0.0</v>
      </c>
      <c r="E77" s="6">
        <v>0.0</v>
      </c>
      <c r="F77" s="6">
        <v>0.0811</v>
      </c>
      <c r="G77" s="6">
        <v>0.0</v>
      </c>
      <c r="H77" s="4">
        <v>0.002523148148148148</v>
      </c>
      <c r="I77" s="4">
        <v>2.0833333333333335E-4</v>
      </c>
      <c r="J77" s="4">
        <v>2.314814814814815E-4</v>
      </c>
    </row>
    <row r="78" ht="15.75" customHeight="1">
      <c r="A78" s="3" t="s">
        <v>85</v>
      </c>
      <c r="B78" s="5">
        <v>35.0</v>
      </c>
      <c r="C78" s="6">
        <v>0.0563</v>
      </c>
      <c r="D78" s="6">
        <v>0.0</v>
      </c>
      <c r="E78" s="6">
        <v>0.0</v>
      </c>
      <c r="F78" s="6">
        <v>0.0986</v>
      </c>
      <c r="G78" s="6">
        <v>0.0</v>
      </c>
      <c r="H78" s="4">
        <v>0.0027430555555555554</v>
      </c>
      <c r="I78" s="4">
        <v>0.0</v>
      </c>
      <c r="J78" s="4">
        <v>1.1574074074074075E-4</v>
      </c>
    </row>
    <row r="79" ht="15.75" customHeight="1">
      <c r="A79" s="3" t="s">
        <v>86</v>
      </c>
      <c r="B79" s="5">
        <v>36.0</v>
      </c>
      <c r="C79" s="6">
        <v>0.0563</v>
      </c>
      <c r="D79" s="6">
        <v>0.0</v>
      </c>
      <c r="E79" s="6">
        <v>0.0</v>
      </c>
      <c r="F79" s="6">
        <v>0.0986</v>
      </c>
      <c r="G79" s="6">
        <v>0.0</v>
      </c>
      <c r="H79" s="4">
        <v>0.0027430555555555554</v>
      </c>
      <c r="I79" s="4">
        <v>0.0</v>
      </c>
      <c r="J79" s="4">
        <v>1.1574074074074075E-4</v>
      </c>
    </row>
    <row r="80" ht="15.75" customHeight="1">
      <c r="A80" s="3" t="s">
        <v>87</v>
      </c>
      <c r="B80" s="5">
        <v>37.0</v>
      </c>
      <c r="C80" s="6">
        <v>0.1364</v>
      </c>
      <c r="D80" s="6">
        <v>0.0</v>
      </c>
      <c r="E80" s="6">
        <v>0.0</v>
      </c>
      <c r="F80" s="6">
        <v>0.1818</v>
      </c>
      <c r="G80" s="6">
        <v>0.0833</v>
      </c>
      <c r="H80" s="4">
        <v>0.0026967592592592594</v>
      </c>
      <c r="I80" s="4">
        <v>3.472222222222222E-5</v>
      </c>
      <c r="J80" s="4">
        <v>7.060185185185185E-4</v>
      </c>
    </row>
    <row r="81" ht="15.75" customHeight="1">
      <c r="A81" s="3" t="s">
        <v>88</v>
      </c>
      <c r="B81" s="5">
        <v>38.0</v>
      </c>
      <c r="C81" s="6">
        <v>0.1364</v>
      </c>
      <c r="D81" s="6">
        <v>0.0</v>
      </c>
      <c r="E81" s="6">
        <v>0.0</v>
      </c>
      <c r="F81" s="6">
        <v>0.1818</v>
      </c>
      <c r="G81" s="6">
        <v>0.0833</v>
      </c>
      <c r="H81" s="4">
        <v>0.0026967592592592594</v>
      </c>
      <c r="I81" s="4">
        <v>3.472222222222222E-5</v>
      </c>
      <c r="J81" s="4">
        <v>7.060185185185185E-4</v>
      </c>
    </row>
    <row r="82" ht="15.75" customHeight="1">
      <c r="A82" s="3" t="s">
        <v>89</v>
      </c>
      <c r="B82" s="5">
        <v>39.0</v>
      </c>
      <c r="C82" s="6">
        <v>0.0882</v>
      </c>
      <c r="D82" s="6">
        <v>0.0</v>
      </c>
      <c r="E82" s="6">
        <v>0.0</v>
      </c>
      <c r="F82" s="6">
        <v>0.0882</v>
      </c>
      <c r="G82" s="6">
        <v>0.0</v>
      </c>
      <c r="H82" s="4">
        <v>0.002939814814814815</v>
      </c>
      <c r="I82" s="4">
        <v>0.0</v>
      </c>
      <c r="J82" s="4">
        <v>8.101851851851852E-5</v>
      </c>
    </row>
    <row r="83" ht="15.75" customHeight="1">
      <c r="A83" s="3" t="s">
        <v>90</v>
      </c>
      <c r="B83" s="5">
        <v>40.0</v>
      </c>
      <c r="C83" s="6">
        <v>0.0882</v>
      </c>
      <c r="D83" s="6">
        <v>0.0</v>
      </c>
      <c r="E83" s="6">
        <v>0.0</v>
      </c>
      <c r="F83" s="6">
        <v>0.0882</v>
      </c>
      <c r="G83" s="6">
        <v>0.0</v>
      </c>
      <c r="H83" s="4">
        <v>0.002939814814814815</v>
      </c>
      <c r="I83" s="4">
        <v>0.0</v>
      </c>
      <c r="J83" s="4">
        <v>8.101851851851852E-5</v>
      </c>
    </row>
    <row r="84" ht="15.75" customHeight="1">
      <c r="A84" s="3" t="s">
        <v>91</v>
      </c>
      <c r="B84" s="5">
        <v>41.0</v>
      </c>
      <c r="C84" s="6">
        <v>0.037</v>
      </c>
      <c r="D84" s="6">
        <v>0.0</v>
      </c>
      <c r="E84" s="6">
        <v>0.0</v>
      </c>
      <c r="F84" s="6">
        <v>0.1296</v>
      </c>
      <c r="G84" s="6">
        <v>0.2857</v>
      </c>
      <c r="H84" s="4">
        <v>0.0028819444444444444</v>
      </c>
      <c r="I84" s="4">
        <v>1.388888888888889E-4</v>
      </c>
      <c r="J84" s="4">
        <v>5.787037037037037E-5</v>
      </c>
    </row>
    <row r="85" ht="15.75" customHeight="1">
      <c r="A85" s="3" t="s">
        <v>92</v>
      </c>
      <c r="B85" s="5">
        <v>42.0</v>
      </c>
      <c r="C85" s="6">
        <v>0.037</v>
      </c>
      <c r="D85" s="6">
        <v>0.0</v>
      </c>
      <c r="E85" s="6">
        <v>0.0</v>
      </c>
      <c r="F85" s="6">
        <v>0.1296</v>
      </c>
      <c r="G85" s="6">
        <v>0.2857</v>
      </c>
      <c r="H85" s="4">
        <v>0.0028819444444444444</v>
      </c>
      <c r="I85" s="4">
        <v>1.388888888888889E-4</v>
      </c>
      <c r="J85" s="4">
        <v>5.787037037037037E-5</v>
      </c>
    </row>
    <row r="86" ht="15.75" customHeight="1">
      <c r="A86" s="3" t="s">
        <v>93</v>
      </c>
      <c r="B86" s="5">
        <v>43.0</v>
      </c>
      <c r="C86" s="6">
        <v>0.0408</v>
      </c>
      <c r="D86" s="6">
        <v>0.0</v>
      </c>
      <c r="E86" s="6">
        <v>0.0</v>
      </c>
      <c r="F86" s="6">
        <v>0.0612</v>
      </c>
      <c r="G86" s="6">
        <v>0.0</v>
      </c>
      <c r="H86" s="4">
        <v>0.002800925925925926</v>
      </c>
      <c r="I86" s="4">
        <v>1.1574074074074073E-5</v>
      </c>
      <c r="J86" s="4">
        <v>4.6296296296296294E-5</v>
      </c>
    </row>
    <row r="87" ht="15.75" customHeight="1">
      <c r="A87" s="3" t="s">
        <v>94</v>
      </c>
      <c r="B87" s="5">
        <v>44.0</v>
      </c>
      <c r="C87" s="6">
        <v>0.0408</v>
      </c>
      <c r="D87" s="6">
        <v>0.0</v>
      </c>
      <c r="E87" s="6">
        <v>0.0</v>
      </c>
      <c r="F87" s="6">
        <v>0.0612</v>
      </c>
      <c r="G87" s="6">
        <v>0.0</v>
      </c>
      <c r="H87" s="4">
        <v>0.002800925925925926</v>
      </c>
      <c r="I87" s="4">
        <v>1.1574074074074073E-5</v>
      </c>
      <c r="J87" s="4">
        <v>4.6296296296296294E-5</v>
      </c>
    </row>
    <row r="88" ht="15.75" customHeight="1">
      <c r="A88" s="3" t="s">
        <v>95</v>
      </c>
      <c r="B88" s="5">
        <v>45.0</v>
      </c>
      <c r="C88" s="6">
        <v>0.0755</v>
      </c>
      <c r="D88" s="6">
        <v>0.0</v>
      </c>
      <c r="E88" s="6">
        <v>0.0</v>
      </c>
      <c r="F88" s="6">
        <v>0.1132</v>
      </c>
      <c r="G88" s="6">
        <v>0.0</v>
      </c>
      <c r="H88" s="4">
        <v>0.0039004629629629628</v>
      </c>
      <c r="I88" s="4">
        <v>4.6296296296296294E-5</v>
      </c>
      <c r="J88" s="4">
        <v>2.662037037037037E-4</v>
      </c>
    </row>
    <row r="89" ht="15.75" customHeight="1">
      <c r="A89" s="3" t="s">
        <v>96</v>
      </c>
      <c r="B89" s="5">
        <v>46.0</v>
      </c>
      <c r="C89" s="6">
        <v>0.0755</v>
      </c>
      <c r="D89" s="6">
        <v>0.0</v>
      </c>
      <c r="E89" s="6">
        <v>0.0</v>
      </c>
      <c r="F89" s="6">
        <v>0.1132</v>
      </c>
      <c r="G89" s="6">
        <v>0.0</v>
      </c>
      <c r="H89" s="4">
        <v>0.0039004629629629628</v>
      </c>
      <c r="I89" s="4">
        <v>4.6296296296296294E-5</v>
      </c>
      <c r="J89" s="4">
        <v>2.662037037037037E-4</v>
      </c>
    </row>
    <row r="90" ht="15.75" customHeight="1">
      <c r="A90" s="3" t="s">
        <v>97</v>
      </c>
      <c r="B90" s="5">
        <v>47.0</v>
      </c>
      <c r="C90" s="6">
        <v>0.0308</v>
      </c>
      <c r="D90" s="6">
        <v>0.0154</v>
      </c>
      <c r="E90" s="6">
        <v>0.0</v>
      </c>
      <c r="F90" s="6">
        <v>0.0769</v>
      </c>
      <c r="G90" s="6">
        <v>0.4</v>
      </c>
      <c r="H90" s="4">
        <v>0.0029745370370370373</v>
      </c>
      <c r="I90" s="4">
        <v>1.388888888888889E-4</v>
      </c>
      <c r="J90" s="4">
        <v>8.101851851851852E-5</v>
      </c>
    </row>
    <row r="91" ht="15.75" customHeight="1">
      <c r="A91" s="3" t="s">
        <v>98</v>
      </c>
      <c r="B91" s="5">
        <v>48.0</v>
      </c>
      <c r="C91" s="6">
        <v>0.0308</v>
      </c>
      <c r="D91" s="6">
        <v>0.0154</v>
      </c>
      <c r="E91" s="6">
        <v>0.0</v>
      </c>
      <c r="F91" s="6">
        <v>0.0769</v>
      </c>
      <c r="G91" s="6">
        <v>0.4</v>
      </c>
      <c r="H91" s="4">
        <v>0.0029745370370370373</v>
      </c>
      <c r="I91" s="4">
        <v>1.388888888888889E-4</v>
      </c>
      <c r="J91" s="4">
        <v>8.101851851851852E-5</v>
      </c>
    </row>
    <row r="92" ht="15.75" customHeight="1">
      <c r="A92" s="3" t="s">
        <v>99</v>
      </c>
      <c r="B92" s="5">
        <v>49.0</v>
      </c>
      <c r="C92" s="6">
        <v>0.0678</v>
      </c>
      <c r="D92" s="6">
        <v>0.0</v>
      </c>
      <c r="E92" s="6">
        <v>0.0</v>
      </c>
      <c r="F92" s="6">
        <v>0.1017</v>
      </c>
      <c r="G92" s="6">
        <v>0.0</v>
      </c>
      <c r="H92" s="4">
        <v>0.0028935185185185184</v>
      </c>
      <c r="I92" s="4">
        <v>3.356481481481481E-4</v>
      </c>
      <c r="J92" s="4">
        <v>4.6296296296296294E-5</v>
      </c>
    </row>
    <row r="93" ht="15.75" customHeight="1">
      <c r="A93" s="3" t="s">
        <v>100</v>
      </c>
      <c r="B93" s="5">
        <v>50.0</v>
      </c>
      <c r="C93" s="6">
        <v>0.0678</v>
      </c>
      <c r="D93" s="6">
        <v>0.0</v>
      </c>
      <c r="E93" s="6">
        <v>0.0</v>
      </c>
      <c r="F93" s="6">
        <v>0.1017</v>
      </c>
      <c r="G93" s="6">
        <v>0.0</v>
      </c>
      <c r="H93" s="4">
        <v>0.0028935185185185184</v>
      </c>
      <c r="I93" s="4">
        <v>3.356481481481481E-4</v>
      </c>
      <c r="J93" s="4">
        <v>4.6296296296296294E-5</v>
      </c>
    </row>
    <row r="94" ht="15.75" customHeight="1">
      <c r="A94" s="3" t="s">
        <v>101</v>
      </c>
      <c r="B94" s="5">
        <v>51.0</v>
      </c>
      <c r="C94" s="6">
        <v>0.0606</v>
      </c>
      <c r="D94" s="6">
        <v>0.0</v>
      </c>
      <c r="E94" s="6">
        <v>0.0</v>
      </c>
      <c r="F94" s="6">
        <v>0.1061</v>
      </c>
      <c r="G94" s="6">
        <v>0.0</v>
      </c>
      <c r="H94" s="4">
        <v>0.002928240740740741</v>
      </c>
      <c r="I94" s="4">
        <v>2.4305555555555555E-4</v>
      </c>
      <c r="J94" s="4">
        <v>2.199074074074074E-4</v>
      </c>
    </row>
    <row r="95" ht="15.75" customHeight="1">
      <c r="A95" s="3" t="s">
        <v>102</v>
      </c>
      <c r="B95" s="5">
        <v>52.0</v>
      </c>
      <c r="C95" s="6">
        <v>0.0606</v>
      </c>
      <c r="D95" s="6">
        <v>0.0</v>
      </c>
      <c r="E95" s="6">
        <v>0.0</v>
      </c>
      <c r="F95" s="6">
        <v>0.1061</v>
      </c>
      <c r="G95" s="6">
        <v>0.0</v>
      </c>
      <c r="H95" s="4">
        <v>0.002928240740740741</v>
      </c>
      <c r="I95" s="4">
        <v>2.4305555555555555E-4</v>
      </c>
      <c r="J95" s="4">
        <v>2.199074074074074E-4</v>
      </c>
    </row>
    <row r="96" ht="15.75" customHeight="1">
      <c r="A96" s="3" t="s">
        <v>103</v>
      </c>
      <c r="B96" s="5">
        <v>53.0</v>
      </c>
      <c r="C96" s="6">
        <v>0.0597</v>
      </c>
      <c r="D96" s="6">
        <v>0.0</v>
      </c>
      <c r="E96" s="6">
        <v>0.0</v>
      </c>
      <c r="F96" s="6">
        <v>0.0597</v>
      </c>
      <c r="G96" s="6">
        <v>0.0</v>
      </c>
      <c r="H96" s="4">
        <v>0.002905092592592593</v>
      </c>
      <c r="I96" s="4">
        <v>2.3148148148148147E-5</v>
      </c>
      <c r="J96" s="4">
        <v>4.6296296296296294E-5</v>
      </c>
    </row>
    <row r="97" ht="15.75" customHeight="1">
      <c r="A97" s="3" t="s">
        <v>104</v>
      </c>
      <c r="B97" s="5">
        <v>54.0</v>
      </c>
      <c r="C97" s="6">
        <v>0.0597</v>
      </c>
      <c r="D97" s="6">
        <v>0.0</v>
      </c>
      <c r="E97" s="6">
        <v>0.0</v>
      </c>
      <c r="F97" s="6">
        <v>0.0597</v>
      </c>
      <c r="G97" s="6">
        <v>0.0</v>
      </c>
      <c r="H97" s="4">
        <v>0.002905092592592593</v>
      </c>
      <c r="I97" s="4">
        <v>2.3148148148148147E-5</v>
      </c>
      <c r="J97" s="4">
        <v>4.6296296296296294E-5</v>
      </c>
    </row>
    <row r="98" ht="15.75" customHeight="1">
      <c r="A98" s="3" t="s">
        <v>105</v>
      </c>
      <c r="B98" s="5">
        <v>55.0</v>
      </c>
      <c r="C98" s="6">
        <v>0.0</v>
      </c>
      <c r="D98" s="6">
        <v>0.0</v>
      </c>
      <c r="E98" s="6">
        <v>0.0</v>
      </c>
      <c r="F98" s="6">
        <v>0.0286</v>
      </c>
      <c r="G98" s="6">
        <v>1.0</v>
      </c>
      <c r="H98" s="4">
        <v>0.002650462962962963</v>
      </c>
      <c r="I98" s="4">
        <v>0.0</v>
      </c>
      <c r="J98" s="4">
        <v>1.5046296296296297E-4</v>
      </c>
    </row>
    <row r="99" ht="15.75" customHeight="1">
      <c r="A99" s="3" t="s">
        <v>106</v>
      </c>
      <c r="B99" s="5">
        <v>56.0</v>
      </c>
      <c r="C99" s="6">
        <v>0.0</v>
      </c>
      <c r="D99" s="6">
        <v>0.0</v>
      </c>
      <c r="E99" s="6">
        <v>0.0</v>
      </c>
      <c r="F99" s="6">
        <v>0.0286</v>
      </c>
      <c r="G99" s="6">
        <v>1.0</v>
      </c>
      <c r="H99" s="4">
        <v>0.002650462962962963</v>
      </c>
      <c r="I99" s="4">
        <v>0.0</v>
      </c>
      <c r="J99" s="4">
        <v>1.5046296296296297E-4</v>
      </c>
    </row>
    <row r="100" ht="15.75" customHeight="1">
      <c r="A100" s="3" t="s">
        <v>107</v>
      </c>
      <c r="B100" s="5">
        <v>57.0</v>
      </c>
      <c r="C100" s="6">
        <v>0.0476</v>
      </c>
      <c r="D100" s="6">
        <v>0.0</v>
      </c>
      <c r="E100" s="6">
        <v>0.0</v>
      </c>
      <c r="F100" s="6">
        <v>0.119</v>
      </c>
      <c r="G100" s="6">
        <v>0.0</v>
      </c>
      <c r="H100" s="4">
        <v>0.002951388888888889</v>
      </c>
      <c r="I100" s="4">
        <v>4.62962962962963E-4</v>
      </c>
      <c r="J100" s="4">
        <v>9.259259259259259E-5</v>
      </c>
    </row>
    <row r="101" ht="15.75" customHeight="1">
      <c r="A101" s="3" t="s">
        <v>108</v>
      </c>
      <c r="B101" s="5">
        <v>58.0</v>
      </c>
      <c r="C101" s="6">
        <v>0.0476</v>
      </c>
      <c r="D101" s="6">
        <v>0.0</v>
      </c>
      <c r="E101" s="6">
        <v>0.0</v>
      </c>
      <c r="F101" s="6">
        <v>0.119</v>
      </c>
      <c r="G101" s="6">
        <v>0.0</v>
      </c>
      <c r="H101" s="4">
        <v>0.002951388888888889</v>
      </c>
      <c r="I101" s="4">
        <v>4.62962962962963E-4</v>
      </c>
      <c r="J101" s="4">
        <v>9.259259259259259E-5</v>
      </c>
    </row>
    <row r="102" ht="15.75" customHeight="1">
      <c r="A102" s="3" t="s">
        <v>109</v>
      </c>
      <c r="B102" s="5">
        <v>59.0</v>
      </c>
      <c r="C102" s="6">
        <v>0.0299</v>
      </c>
      <c r="D102" s="6">
        <v>0.0</v>
      </c>
      <c r="E102" s="6">
        <v>0.0</v>
      </c>
      <c r="F102" s="6">
        <v>0.1045</v>
      </c>
      <c r="G102" s="6">
        <v>0.0</v>
      </c>
      <c r="H102" s="4">
        <v>0.0027199074074074074</v>
      </c>
      <c r="I102" s="4">
        <v>2.3148148148148147E-5</v>
      </c>
      <c r="J102" s="4">
        <v>1.6203703703703703E-4</v>
      </c>
    </row>
    <row r="103" ht="15.75" customHeight="1">
      <c r="A103" s="3" t="s">
        <v>110</v>
      </c>
      <c r="B103" s="5">
        <v>60.0</v>
      </c>
      <c r="C103" s="6">
        <v>0.0299</v>
      </c>
      <c r="D103" s="6">
        <v>0.0</v>
      </c>
      <c r="E103" s="6">
        <v>0.0</v>
      </c>
      <c r="F103" s="6">
        <v>0.1045</v>
      </c>
      <c r="G103" s="6">
        <v>0.0</v>
      </c>
      <c r="H103" s="4">
        <v>0.0027199074074074074</v>
      </c>
      <c r="I103" s="4">
        <v>2.3148148148148147E-5</v>
      </c>
      <c r="J103" s="4">
        <v>1.6203703703703703E-4</v>
      </c>
    </row>
    <row r="104" ht="15.75" customHeight="1">
      <c r="A104" s="3" t="s">
        <v>111</v>
      </c>
      <c r="B104" s="5">
        <v>61.0</v>
      </c>
      <c r="C104" s="6">
        <v>0.0278</v>
      </c>
      <c r="D104" s="6">
        <v>0.0</v>
      </c>
      <c r="E104" s="6">
        <v>0.0</v>
      </c>
      <c r="F104" s="6">
        <v>0.0833</v>
      </c>
      <c r="G104" s="6">
        <v>0.0</v>
      </c>
      <c r="H104" s="4">
        <v>0.002638888888888889</v>
      </c>
      <c r="I104" s="4">
        <v>2.3148148148148147E-5</v>
      </c>
      <c r="J104" s="4">
        <v>6.944444444444444E-5</v>
      </c>
    </row>
    <row r="105" ht="15.75" customHeight="1">
      <c r="A105" s="3" t="s">
        <v>112</v>
      </c>
      <c r="B105" s="5">
        <v>62.0</v>
      </c>
      <c r="C105" s="6">
        <v>0.0278</v>
      </c>
      <c r="D105" s="6">
        <v>0.0</v>
      </c>
      <c r="E105" s="6">
        <v>0.0</v>
      </c>
      <c r="F105" s="6">
        <v>0.0833</v>
      </c>
      <c r="G105" s="6">
        <v>0.0</v>
      </c>
      <c r="H105" s="4">
        <v>0.002638888888888889</v>
      </c>
      <c r="I105" s="4">
        <v>2.3148148148148147E-5</v>
      </c>
      <c r="J105" s="4">
        <v>6.944444444444444E-5</v>
      </c>
    </row>
    <row r="106" ht="15.75" customHeight="1">
      <c r="A106" s="3" t="s">
        <v>113</v>
      </c>
      <c r="B106" s="5">
        <v>63.0</v>
      </c>
      <c r="C106" s="6">
        <v>0.1081</v>
      </c>
      <c r="D106" s="6">
        <v>0.0</v>
      </c>
      <c r="E106" s="6">
        <v>0.0</v>
      </c>
      <c r="F106" s="6">
        <v>0.1622</v>
      </c>
      <c r="G106" s="6">
        <v>0.0833</v>
      </c>
      <c r="H106" s="4">
        <v>0.0025925925925925925</v>
      </c>
      <c r="I106" s="4">
        <v>1.273148148148148E-4</v>
      </c>
      <c r="J106" s="4">
        <v>1.0416666666666667E-4</v>
      </c>
    </row>
    <row r="107" ht="15.75" customHeight="1">
      <c r="A107" s="3" t="s">
        <v>114</v>
      </c>
      <c r="B107" s="5">
        <v>64.0</v>
      </c>
      <c r="C107" s="6">
        <v>0.1081</v>
      </c>
      <c r="D107" s="6">
        <v>0.0</v>
      </c>
      <c r="E107" s="6">
        <v>0.0</v>
      </c>
      <c r="F107" s="6">
        <v>0.1622</v>
      </c>
      <c r="G107" s="6">
        <v>0.0833</v>
      </c>
      <c r="H107" s="4">
        <v>0.0025925925925925925</v>
      </c>
      <c r="I107" s="4">
        <v>1.273148148148148E-4</v>
      </c>
      <c r="J107" s="4">
        <v>1.0416666666666667E-4</v>
      </c>
    </row>
    <row r="108" ht="15.75" customHeight="1">
      <c r="A108" s="3" t="s">
        <v>115</v>
      </c>
      <c r="B108" s="5">
        <v>65.0</v>
      </c>
      <c r="C108" s="6">
        <v>0.0484</v>
      </c>
      <c r="D108" s="6">
        <v>0.0</v>
      </c>
      <c r="E108" s="6">
        <v>0.0</v>
      </c>
      <c r="F108" s="6">
        <v>0.0968</v>
      </c>
      <c r="G108" s="6">
        <v>0.0</v>
      </c>
      <c r="H108" s="4">
        <v>0.0030671296296296297</v>
      </c>
      <c r="I108" s="4">
        <v>0.0</v>
      </c>
      <c r="J108" s="4">
        <v>3.356481481481481E-4</v>
      </c>
    </row>
    <row r="109" ht="15.75" customHeight="1">
      <c r="A109" s="3" t="s">
        <v>116</v>
      </c>
      <c r="B109" s="5">
        <v>66.0</v>
      </c>
      <c r="C109" s="6">
        <v>0.0484</v>
      </c>
      <c r="D109" s="6">
        <v>0.0</v>
      </c>
      <c r="E109" s="6">
        <v>0.0</v>
      </c>
      <c r="F109" s="6">
        <v>0.0968</v>
      </c>
      <c r="G109" s="6">
        <v>0.0</v>
      </c>
      <c r="H109" s="4">
        <v>0.0030671296296296297</v>
      </c>
      <c r="I109" s="4">
        <v>0.0</v>
      </c>
      <c r="J109" s="4">
        <v>3.356481481481481E-4</v>
      </c>
    </row>
    <row r="110" ht="15.75" customHeight="1">
      <c r="A110" s="3" t="s">
        <v>117</v>
      </c>
      <c r="B110" s="5">
        <v>67.0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4">
        <v>0.0024537037037037036</v>
      </c>
      <c r="I110" s="7"/>
      <c r="J110" s="4">
        <v>2.199074074074074E-4</v>
      </c>
    </row>
    <row r="111" ht="15.75" customHeight="1">
      <c r="A111" s="3" t="s">
        <v>118</v>
      </c>
      <c r="B111" s="5">
        <v>68.0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4">
        <v>0.0024537037037037036</v>
      </c>
      <c r="I111" s="7"/>
      <c r="J111" s="4">
        <v>2.199074074074074E-4</v>
      </c>
    </row>
    <row r="112" ht="15.75" customHeight="1">
      <c r="A112" s="3" t="s">
        <v>119</v>
      </c>
      <c r="B112" s="5">
        <v>69.0</v>
      </c>
      <c r="C112" s="6">
        <v>0.0526</v>
      </c>
      <c r="D112" s="6">
        <v>0.0</v>
      </c>
      <c r="E112" s="6">
        <v>0.0</v>
      </c>
      <c r="F112" s="6">
        <v>0.1447</v>
      </c>
      <c r="G112" s="6">
        <v>0.6364</v>
      </c>
      <c r="H112" s="4">
        <v>0.002395833333333333</v>
      </c>
      <c r="I112" s="4">
        <v>0.0</v>
      </c>
      <c r="J112" s="4">
        <v>5.787037037037037E-5</v>
      </c>
    </row>
    <row r="113" ht="15.75" customHeight="1">
      <c r="A113" s="3" t="s">
        <v>120</v>
      </c>
      <c r="B113" s="5">
        <v>70.0</v>
      </c>
      <c r="C113" s="6">
        <v>0.0526</v>
      </c>
      <c r="D113" s="6">
        <v>0.0</v>
      </c>
      <c r="E113" s="6">
        <v>0.0</v>
      </c>
      <c r="F113" s="6">
        <v>0.1447</v>
      </c>
      <c r="G113" s="6">
        <v>0.6364</v>
      </c>
      <c r="H113" s="4">
        <v>0.002395833333333333</v>
      </c>
      <c r="I113" s="4">
        <v>0.0</v>
      </c>
      <c r="J113" s="4">
        <v>5.787037037037037E-5</v>
      </c>
    </row>
    <row r="114" ht="15.75" customHeight="1">
      <c r="A114" s="3" t="s">
        <v>121</v>
      </c>
      <c r="B114" s="5">
        <v>71.0</v>
      </c>
      <c r="C114" s="6">
        <v>0.0278</v>
      </c>
      <c r="D114" s="6">
        <v>0.0</v>
      </c>
      <c r="E114" s="6">
        <v>0.0137</v>
      </c>
      <c r="F114" s="6">
        <v>0.0417</v>
      </c>
      <c r="G114" s="6">
        <v>0.0</v>
      </c>
      <c r="H114" s="4">
        <v>0.0024421296296296296</v>
      </c>
      <c r="I114" s="4">
        <v>9.259259259259259E-5</v>
      </c>
      <c r="J114" s="4">
        <v>1.273148148148148E-4</v>
      </c>
    </row>
    <row r="115" ht="15.75" customHeight="1">
      <c r="A115" s="3" t="s">
        <v>122</v>
      </c>
      <c r="B115" s="5">
        <v>72.0</v>
      </c>
      <c r="C115" s="6">
        <v>0.0278</v>
      </c>
      <c r="D115" s="6">
        <v>0.0</v>
      </c>
      <c r="E115" s="6">
        <v>0.0137</v>
      </c>
      <c r="F115" s="6">
        <v>0.0417</v>
      </c>
      <c r="G115" s="6">
        <v>0.0</v>
      </c>
      <c r="H115" s="4">
        <v>0.0024421296296296296</v>
      </c>
      <c r="I115" s="4">
        <v>9.259259259259259E-5</v>
      </c>
      <c r="J115" s="4">
        <v>1.273148148148148E-4</v>
      </c>
    </row>
    <row r="116" ht="15.75" customHeight="1">
      <c r="A116" s="3" t="s">
        <v>123</v>
      </c>
      <c r="B116" s="5">
        <v>73.0</v>
      </c>
      <c r="C116" s="6">
        <v>0.0308</v>
      </c>
      <c r="D116" s="6">
        <v>0.0</v>
      </c>
      <c r="E116" s="6">
        <v>0.0299</v>
      </c>
      <c r="F116" s="6">
        <v>0.0769</v>
      </c>
      <c r="G116" s="6">
        <v>0.2</v>
      </c>
      <c r="H116" s="4">
        <v>0.0028125</v>
      </c>
      <c r="I116" s="4">
        <v>1.1574074074074073E-5</v>
      </c>
      <c r="J116" s="4">
        <v>1.1574074074074075E-4</v>
      </c>
    </row>
    <row r="117" ht="15.75" customHeight="1">
      <c r="A117" s="3" t="s">
        <v>124</v>
      </c>
      <c r="B117" s="5">
        <v>74.0</v>
      </c>
      <c r="C117" s="6">
        <v>0.0308</v>
      </c>
      <c r="D117" s="6">
        <v>0.0</v>
      </c>
      <c r="E117" s="6">
        <v>0.0299</v>
      </c>
      <c r="F117" s="6">
        <v>0.0769</v>
      </c>
      <c r="G117" s="6">
        <v>0.2</v>
      </c>
      <c r="H117" s="4">
        <v>0.0028125</v>
      </c>
      <c r="I117" s="4">
        <v>1.1574074074074073E-5</v>
      </c>
      <c r="J117" s="4">
        <v>1.1574074074074075E-4</v>
      </c>
    </row>
    <row r="118" ht="15.75" customHeight="1">
      <c r="A118" s="3" t="s">
        <v>125</v>
      </c>
      <c r="B118" s="5">
        <v>75.0</v>
      </c>
      <c r="C118" s="6">
        <v>0.1364</v>
      </c>
      <c r="D118" s="6">
        <v>0.0</v>
      </c>
      <c r="E118" s="6">
        <v>0.0</v>
      </c>
      <c r="F118" s="6">
        <v>0.2045</v>
      </c>
      <c r="G118" s="6">
        <v>0.0</v>
      </c>
      <c r="H118" s="4">
        <v>0.0027546296296296294</v>
      </c>
      <c r="I118" s="4">
        <v>7.291666666666667E-4</v>
      </c>
      <c r="J118" s="4">
        <v>8.101851851851852E-5</v>
      </c>
    </row>
    <row r="119" ht="15.75" customHeight="1">
      <c r="A119" s="3" t="s">
        <v>126</v>
      </c>
      <c r="B119" s="5">
        <v>76.0</v>
      </c>
      <c r="C119" s="6">
        <v>0.1364</v>
      </c>
      <c r="D119" s="6">
        <v>0.0</v>
      </c>
      <c r="E119" s="6">
        <v>0.0</v>
      </c>
      <c r="F119" s="6">
        <v>0.2045</v>
      </c>
      <c r="G119" s="6">
        <v>0.0</v>
      </c>
      <c r="H119" s="4">
        <v>0.0027546296296296294</v>
      </c>
      <c r="I119" s="4">
        <v>7.291666666666667E-4</v>
      </c>
      <c r="J119" s="4">
        <v>8.101851851851852E-5</v>
      </c>
    </row>
    <row r="120" ht="15.75" customHeight="1">
      <c r="A120" s="3" t="s">
        <v>127</v>
      </c>
      <c r="B120" s="5">
        <v>77.0</v>
      </c>
      <c r="C120" s="6">
        <v>0.0164</v>
      </c>
      <c r="D120" s="6">
        <v>0.0</v>
      </c>
      <c r="E120" s="6">
        <v>0.0</v>
      </c>
      <c r="F120" s="6">
        <v>0.082</v>
      </c>
      <c r="G120" s="6">
        <v>0.0</v>
      </c>
      <c r="H120" s="4">
        <v>0.0027199074074074074</v>
      </c>
      <c r="I120" s="4">
        <v>3.472222222222222E-5</v>
      </c>
      <c r="J120" s="4">
        <v>6.944444444444444E-5</v>
      </c>
    </row>
    <row r="121" ht="15.75" customHeight="1">
      <c r="A121" s="3" t="s">
        <v>128</v>
      </c>
      <c r="B121" s="5">
        <v>78.0</v>
      </c>
      <c r="C121" s="6">
        <v>0.0164</v>
      </c>
      <c r="D121" s="6">
        <v>0.0</v>
      </c>
      <c r="E121" s="6">
        <v>0.0</v>
      </c>
      <c r="F121" s="6">
        <v>0.082</v>
      </c>
      <c r="G121" s="6">
        <v>0.0</v>
      </c>
      <c r="H121" s="4">
        <v>0.0027199074074074074</v>
      </c>
      <c r="I121" s="4">
        <v>3.472222222222222E-5</v>
      </c>
      <c r="J121" s="4">
        <v>6.944444444444444E-5</v>
      </c>
    </row>
    <row r="122" ht="15.75" customHeight="1">
      <c r="A122" s="3" t="s">
        <v>129</v>
      </c>
      <c r="B122" s="5">
        <v>79.0</v>
      </c>
      <c r="C122" s="6">
        <v>0.1304</v>
      </c>
      <c r="D122" s="6">
        <v>0.0</v>
      </c>
      <c r="E122" s="6">
        <v>0.0</v>
      </c>
      <c r="F122" s="6">
        <v>0.1957</v>
      </c>
      <c r="G122" s="6">
        <v>0.0</v>
      </c>
      <c r="H122" s="4">
        <v>0.0030092592592592593</v>
      </c>
      <c r="I122" s="4">
        <v>0.0</v>
      </c>
      <c r="J122" s="4">
        <v>1.273148148148148E-4</v>
      </c>
    </row>
    <row r="123" ht="15.75" customHeight="1">
      <c r="A123" s="3" t="s">
        <v>130</v>
      </c>
      <c r="B123" s="5">
        <v>80.0</v>
      </c>
      <c r="C123" s="6">
        <v>0.1304</v>
      </c>
      <c r="D123" s="6">
        <v>0.0</v>
      </c>
      <c r="E123" s="6">
        <v>0.0</v>
      </c>
      <c r="F123" s="6">
        <v>0.1957</v>
      </c>
      <c r="G123" s="6">
        <v>0.0</v>
      </c>
      <c r="H123" s="4">
        <v>0.0030092592592592593</v>
      </c>
      <c r="I123" s="4">
        <v>0.0</v>
      </c>
      <c r="J123" s="4">
        <v>1.273148148148148E-4</v>
      </c>
    </row>
    <row r="124" ht="15.75" customHeight="1">
      <c r="A124" s="3" t="s">
        <v>131</v>
      </c>
      <c r="B124" s="5">
        <v>81.0</v>
      </c>
      <c r="C124" s="6">
        <v>0.0656</v>
      </c>
      <c r="D124" s="6">
        <v>0.0</v>
      </c>
      <c r="E124" s="6">
        <v>0.0</v>
      </c>
      <c r="F124" s="6">
        <v>0.0984</v>
      </c>
      <c r="G124" s="6">
        <v>0.0</v>
      </c>
      <c r="H124" s="4">
        <v>0.002777777777777778</v>
      </c>
      <c r="I124" s="4">
        <v>1.0416666666666667E-4</v>
      </c>
      <c r="J124" s="4">
        <v>9.259259259259259E-5</v>
      </c>
    </row>
    <row r="125" ht="15.75" customHeight="1">
      <c r="A125" s="3" t="s">
        <v>132</v>
      </c>
      <c r="B125" s="5">
        <v>82.0</v>
      </c>
      <c r="C125" s="6">
        <v>0.0656</v>
      </c>
      <c r="D125" s="6">
        <v>0.0</v>
      </c>
      <c r="E125" s="6">
        <v>0.0</v>
      </c>
      <c r="F125" s="6">
        <v>0.0984</v>
      </c>
      <c r="G125" s="6">
        <v>0.0</v>
      </c>
      <c r="H125" s="4">
        <v>0.002777777777777778</v>
      </c>
      <c r="I125" s="4">
        <v>1.0416666666666667E-4</v>
      </c>
      <c r="J125" s="4">
        <v>9.259259259259259E-5</v>
      </c>
    </row>
    <row r="126" ht="15.75" customHeight="1">
      <c r="A126" s="3" t="s">
        <v>133</v>
      </c>
      <c r="B126" s="5">
        <v>83.0</v>
      </c>
      <c r="C126" s="6">
        <v>0.1111</v>
      </c>
      <c r="D126" s="6">
        <v>0.0</v>
      </c>
      <c r="E126" s="6">
        <v>0.0</v>
      </c>
      <c r="F126" s="6">
        <v>0.127</v>
      </c>
      <c r="G126" s="6">
        <v>0.0</v>
      </c>
      <c r="H126" s="4">
        <v>0.002395833333333333</v>
      </c>
      <c r="I126" s="4">
        <v>1.273148148148148E-4</v>
      </c>
      <c r="J126" s="4">
        <v>1.7361111111111112E-4</v>
      </c>
    </row>
    <row r="127" ht="15.75" customHeight="1">
      <c r="A127" s="3" t="s">
        <v>134</v>
      </c>
      <c r="B127" s="5">
        <v>84.0</v>
      </c>
      <c r="C127" s="6">
        <v>0.1111</v>
      </c>
      <c r="D127" s="6">
        <v>0.0</v>
      </c>
      <c r="E127" s="6">
        <v>0.0</v>
      </c>
      <c r="F127" s="6">
        <v>0.127</v>
      </c>
      <c r="G127" s="6">
        <v>0.0</v>
      </c>
      <c r="H127" s="4">
        <v>0.002395833333333333</v>
      </c>
      <c r="I127" s="4">
        <v>1.273148148148148E-4</v>
      </c>
      <c r="J127" s="4">
        <v>1.7361111111111112E-4</v>
      </c>
    </row>
    <row r="128" ht="15.75" customHeight="1">
      <c r="A128" s="3" t="s">
        <v>135</v>
      </c>
      <c r="B128" s="5">
        <v>85.0</v>
      </c>
      <c r="C128" s="6">
        <v>0.0545</v>
      </c>
      <c r="D128" s="6">
        <v>0.0</v>
      </c>
      <c r="E128" s="6">
        <v>0.0</v>
      </c>
      <c r="F128" s="6">
        <v>0.1455</v>
      </c>
      <c r="G128" s="6">
        <v>0.125</v>
      </c>
      <c r="H128" s="4">
        <v>0.0026157407407407405</v>
      </c>
      <c r="I128" s="4">
        <v>5.902777777777778E-4</v>
      </c>
      <c r="J128" s="4">
        <v>6.944444444444444E-5</v>
      </c>
    </row>
    <row r="129" ht="15.75" customHeight="1">
      <c r="A129" s="3" t="s">
        <v>136</v>
      </c>
      <c r="B129" s="5">
        <v>86.0</v>
      </c>
      <c r="C129" s="6">
        <v>0.0545</v>
      </c>
      <c r="D129" s="6">
        <v>0.0</v>
      </c>
      <c r="E129" s="6">
        <v>0.0</v>
      </c>
      <c r="F129" s="6">
        <v>0.1455</v>
      </c>
      <c r="G129" s="6">
        <v>0.125</v>
      </c>
      <c r="H129" s="4">
        <v>0.0026157407407407405</v>
      </c>
      <c r="I129" s="4">
        <v>5.902777777777778E-4</v>
      </c>
      <c r="J129" s="4">
        <v>6.944444444444444E-5</v>
      </c>
    </row>
    <row r="130" ht="15.75" customHeight="1">
      <c r="A130" s="3" t="s">
        <v>137</v>
      </c>
      <c r="B130" s="5">
        <v>87.0</v>
      </c>
      <c r="C130" s="6">
        <v>0.102</v>
      </c>
      <c r="D130" s="6">
        <v>0.0</v>
      </c>
      <c r="E130" s="6">
        <v>0.02</v>
      </c>
      <c r="F130" s="6">
        <v>0.102</v>
      </c>
      <c r="G130" s="6">
        <v>0.0</v>
      </c>
      <c r="H130" s="4">
        <v>0.0026967592592592594</v>
      </c>
      <c r="I130" s="4">
        <v>0.0</v>
      </c>
      <c r="J130" s="4">
        <v>4.6296296296296294E-5</v>
      </c>
    </row>
    <row r="131" ht="15.75" customHeight="1">
      <c r="A131" s="3" t="s">
        <v>138</v>
      </c>
      <c r="B131" s="5">
        <v>88.0</v>
      </c>
      <c r="C131" s="6">
        <v>0.102</v>
      </c>
      <c r="D131" s="6">
        <v>0.0</v>
      </c>
      <c r="E131" s="6">
        <v>0.02</v>
      </c>
      <c r="F131" s="6">
        <v>0.102</v>
      </c>
      <c r="G131" s="6">
        <v>0.0</v>
      </c>
      <c r="H131" s="4">
        <v>0.0026967592592592594</v>
      </c>
      <c r="I131" s="4">
        <v>0.0</v>
      </c>
      <c r="J131" s="4">
        <v>4.6296296296296294E-5</v>
      </c>
    </row>
    <row r="132" ht="15.75" customHeight="1">
      <c r="A132" s="3" t="s">
        <v>139</v>
      </c>
      <c r="B132" s="5">
        <v>89.0</v>
      </c>
      <c r="C132" s="6">
        <v>0.1</v>
      </c>
      <c r="D132" s="6">
        <v>0.0</v>
      </c>
      <c r="E132" s="6">
        <v>0.0</v>
      </c>
      <c r="F132" s="6">
        <v>0.1</v>
      </c>
      <c r="G132" s="6">
        <v>0.0</v>
      </c>
      <c r="H132" s="4">
        <v>0.003136574074074074</v>
      </c>
      <c r="I132" s="4">
        <v>0.0</v>
      </c>
      <c r="J132" s="4">
        <v>1.388888888888889E-4</v>
      </c>
    </row>
    <row r="133" ht="15.75" customHeight="1">
      <c r="A133" s="3" t="s">
        <v>140</v>
      </c>
      <c r="B133" s="5">
        <v>90.0</v>
      </c>
      <c r="C133" s="6">
        <v>0.1</v>
      </c>
      <c r="D133" s="6">
        <v>0.0</v>
      </c>
      <c r="E133" s="6">
        <v>0.0</v>
      </c>
      <c r="F133" s="6">
        <v>0.1</v>
      </c>
      <c r="G133" s="6">
        <v>0.0</v>
      </c>
      <c r="H133" s="4">
        <v>0.003136574074074074</v>
      </c>
      <c r="I133" s="4">
        <v>0.0</v>
      </c>
      <c r="J133" s="4">
        <v>1.388888888888889E-4</v>
      </c>
    </row>
    <row r="134" ht="15.75" customHeight="1">
      <c r="A134" s="3" t="s">
        <v>141</v>
      </c>
      <c r="B134" s="5">
        <v>91.0</v>
      </c>
      <c r="C134" s="6">
        <v>0.0339</v>
      </c>
      <c r="D134" s="6">
        <v>0.0</v>
      </c>
      <c r="E134" s="6">
        <v>0.0</v>
      </c>
      <c r="F134" s="6">
        <v>0.1525</v>
      </c>
      <c r="G134" s="6">
        <v>0.1111</v>
      </c>
      <c r="H134" s="4">
        <v>0.00318287037037037</v>
      </c>
      <c r="I134" s="4">
        <v>3.7037037037037035E-4</v>
      </c>
      <c r="J134" s="4">
        <v>4.6296296296296294E-5</v>
      </c>
    </row>
    <row r="135" ht="15.75" customHeight="1">
      <c r="A135" s="3" t="s">
        <v>142</v>
      </c>
      <c r="B135" s="5">
        <v>92.0</v>
      </c>
      <c r="C135" s="6">
        <v>0.0339</v>
      </c>
      <c r="D135" s="6">
        <v>0.0</v>
      </c>
      <c r="E135" s="6">
        <v>0.0</v>
      </c>
      <c r="F135" s="6">
        <v>0.1525</v>
      </c>
      <c r="G135" s="6">
        <v>0.1111</v>
      </c>
      <c r="H135" s="4">
        <v>0.00318287037037037</v>
      </c>
      <c r="I135" s="4">
        <v>3.7037037037037035E-4</v>
      </c>
      <c r="J135" s="4">
        <v>4.6296296296296294E-5</v>
      </c>
    </row>
    <row r="136" ht="15.75" customHeight="1">
      <c r="A136" s="3" t="s">
        <v>143</v>
      </c>
      <c r="B136" s="5">
        <v>93.0</v>
      </c>
      <c r="C136" s="6">
        <v>0.0638</v>
      </c>
      <c r="D136" s="6">
        <v>0.0</v>
      </c>
      <c r="E136" s="6">
        <v>0.0</v>
      </c>
      <c r="F136" s="6">
        <v>0.1915</v>
      </c>
      <c r="G136" s="6">
        <v>0.0</v>
      </c>
      <c r="H136" s="4">
        <v>0.003472222222222222</v>
      </c>
      <c r="I136" s="4">
        <v>0.001585648148148148</v>
      </c>
      <c r="J136" s="4">
        <v>3.0092592592592595E-4</v>
      </c>
    </row>
    <row r="137" ht="15.75" customHeight="1">
      <c r="A137" s="3" t="s">
        <v>144</v>
      </c>
      <c r="B137" s="5">
        <v>94.0</v>
      </c>
      <c r="C137" s="6">
        <v>0.0638</v>
      </c>
      <c r="D137" s="6">
        <v>0.0</v>
      </c>
      <c r="E137" s="6">
        <v>0.0</v>
      </c>
      <c r="F137" s="6">
        <v>0.1915</v>
      </c>
      <c r="G137" s="6">
        <v>0.0</v>
      </c>
      <c r="H137" s="4">
        <v>0.003472222222222222</v>
      </c>
      <c r="I137" s="4">
        <v>0.001585648148148148</v>
      </c>
      <c r="J137" s="4">
        <v>3.0092592592592595E-4</v>
      </c>
    </row>
    <row r="138" ht="15.75" customHeight="1">
      <c r="A138" s="3" t="s">
        <v>145</v>
      </c>
      <c r="B138" s="5">
        <v>95.0</v>
      </c>
      <c r="C138" s="6">
        <v>0.1184</v>
      </c>
      <c r="D138" s="6">
        <v>0.0</v>
      </c>
      <c r="E138" s="6">
        <v>0.0</v>
      </c>
      <c r="F138" s="6">
        <v>0.2368</v>
      </c>
      <c r="G138" s="6">
        <v>0.0556</v>
      </c>
      <c r="H138" s="4">
        <v>0.0024537037037037036</v>
      </c>
      <c r="I138" s="4">
        <v>2.662037037037037E-4</v>
      </c>
      <c r="J138" s="4">
        <v>6.944444444444444E-5</v>
      </c>
    </row>
    <row r="139" ht="15.75" customHeight="1">
      <c r="A139" s="3" t="s">
        <v>146</v>
      </c>
      <c r="B139" s="5">
        <v>96.0</v>
      </c>
      <c r="C139" s="6">
        <v>0.1184</v>
      </c>
      <c r="D139" s="6">
        <v>0.0</v>
      </c>
      <c r="E139" s="6">
        <v>0.0</v>
      </c>
      <c r="F139" s="6">
        <v>0.2368</v>
      </c>
      <c r="G139" s="6">
        <v>0.0556</v>
      </c>
      <c r="H139" s="4">
        <v>0.0024537037037037036</v>
      </c>
      <c r="I139" s="4">
        <v>2.662037037037037E-4</v>
      </c>
      <c r="J139" s="4">
        <v>6.944444444444444E-5</v>
      </c>
    </row>
    <row r="140" ht="15.75" customHeight="1">
      <c r="A140" s="3" t="s">
        <v>147</v>
      </c>
      <c r="B140" s="5">
        <v>97.0</v>
      </c>
      <c r="C140" s="6">
        <v>0.0714</v>
      </c>
      <c r="D140" s="6">
        <v>0.0</v>
      </c>
      <c r="E140" s="6">
        <v>0.0</v>
      </c>
      <c r="F140" s="6">
        <v>0.1286</v>
      </c>
      <c r="G140" s="6">
        <v>0.2222</v>
      </c>
      <c r="H140" s="4">
        <v>0.002824074074074074</v>
      </c>
      <c r="I140" s="4">
        <v>4.050925925925926E-4</v>
      </c>
      <c r="J140" s="4">
        <v>6.944444444444444E-5</v>
      </c>
    </row>
    <row r="141" ht="15.75" customHeight="1">
      <c r="A141" s="3" t="s">
        <v>148</v>
      </c>
      <c r="B141" s="5">
        <v>98.0</v>
      </c>
      <c r="C141" s="6">
        <v>0.0714</v>
      </c>
      <c r="D141" s="6">
        <v>0.0</v>
      </c>
      <c r="E141" s="6">
        <v>0.0</v>
      </c>
      <c r="F141" s="6">
        <v>0.1286</v>
      </c>
      <c r="G141" s="6">
        <v>0.2222</v>
      </c>
      <c r="H141" s="4">
        <v>0.002824074074074074</v>
      </c>
      <c r="I141" s="4">
        <v>4.050925925925926E-4</v>
      </c>
      <c r="J141" s="4">
        <v>6.944444444444444E-5</v>
      </c>
    </row>
    <row r="142" ht="15.75" customHeight="1">
      <c r="A142" s="3" t="s">
        <v>149</v>
      </c>
      <c r="B142" s="5">
        <v>99.0</v>
      </c>
      <c r="C142" s="6">
        <v>0.0</v>
      </c>
      <c r="D142" s="6">
        <v>0.0</v>
      </c>
      <c r="E142" s="6">
        <v>0.0</v>
      </c>
      <c r="F142" s="6">
        <v>0.04</v>
      </c>
      <c r="G142" s="6">
        <v>0.0</v>
      </c>
      <c r="H142" s="4">
        <v>0.0024074074074074076</v>
      </c>
      <c r="I142" s="4">
        <v>7.87037037037037E-4</v>
      </c>
      <c r="J142" s="4">
        <v>6.944444444444444E-5</v>
      </c>
    </row>
    <row r="143" ht="15.75" customHeight="1">
      <c r="A143" s="3" t="s">
        <v>150</v>
      </c>
      <c r="B143" s="5">
        <v>100.0</v>
      </c>
      <c r="C143" s="6">
        <v>0.0</v>
      </c>
      <c r="D143" s="6">
        <v>0.0</v>
      </c>
      <c r="E143" s="6">
        <v>0.0</v>
      </c>
      <c r="F143" s="6">
        <v>0.04</v>
      </c>
      <c r="G143" s="6">
        <v>0.0</v>
      </c>
      <c r="H143" s="4">
        <v>0.0024074074074074076</v>
      </c>
      <c r="I143" s="4">
        <v>7.87037037037037E-4</v>
      </c>
      <c r="J143" s="4">
        <v>6.944444444444444E-5</v>
      </c>
    </row>
    <row r="144" ht="15.75" customHeight="1">
      <c r="A144" s="3" t="s">
        <v>151</v>
      </c>
      <c r="B144" s="5">
        <v>101.0</v>
      </c>
      <c r="C144" s="6">
        <v>0.0317</v>
      </c>
      <c r="D144" s="6">
        <v>0.0</v>
      </c>
      <c r="E144" s="6">
        <v>0.0</v>
      </c>
      <c r="F144" s="6">
        <v>0.127</v>
      </c>
      <c r="G144" s="6">
        <v>0.0</v>
      </c>
      <c r="H144" s="4">
        <v>0.0025694444444444445</v>
      </c>
      <c r="I144" s="4">
        <v>5.671296296296297E-4</v>
      </c>
      <c r="J144" s="4">
        <v>2.8935185185185184E-4</v>
      </c>
    </row>
    <row r="145" ht="15.75" customHeight="1">
      <c r="A145" s="3" t="s">
        <v>152</v>
      </c>
      <c r="B145" s="5">
        <v>102.0</v>
      </c>
      <c r="C145" s="6">
        <v>0.0317</v>
      </c>
      <c r="D145" s="6">
        <v>0.0</v>
      </c>
      <c r="E145" s="6">
        <v>0.0</v>
      </c>
      <c r="F145" s="6">
        <v>0.127</v>
      </c>
      <c r="G145" s="6">
        <v>0.0</v>
      </c>
      <c r="H145" s="4">
        <v>0.0025694444444444445</v>
      </c>
      <c r="I145" s="4">
        <v>5.671296296296297E-4</v>
      </c>
      <c r="J145" s="4">
        <v>2.8935185185185184E-4</v>
      </c>
    </row>
    <row r="146" ht="15.75" customHeight="1">
      <c r="A146" s="3" t="s">
        <v>153</v>
      </c>
      <c r="B146" s="5">
        <v>103.0</v>
      </c>
      <c r="C146" s="6">
        <v>0.0</v>
      </c>
      <c r="D146" s="6">
        <v>0.0</v>
      </c>
      <c r="E146" s="6">
        <v>0.0</v>
      </c>
      <c r="F146" s="6">
        <v>0.0484</v>
      </c>
      <c r="G146" s="6">
        <v>0.0</v>
      </c>
      <c r="H146" s="4">
        <v>0.002638888888888889</v>
      </c>
      <c r="I146" s="4">
        <v>0.0</v>
      </c>
      <c r="J146" s="4">
        <v>6.944444444444444E-5</v>
      </c>
    </row>
    <row r="147" ht="15.75" customHeight="1">
      <c r="A147" s="3" t="s">
        <v>154</v>
      </c>
      <c r="B147" s="5">
        <v>104.0</v>
      </c>
      <c r="C147" s="6">
        <v>0.0</v>
      </c>
      <c r="D147" s="6">
        <v>0.0</v>
      </c>
      <c r="E147" s="6">
        <v>0.0</v>
      </c>
      <c r="F147" s="6">
        <v>0.0484</v>
      </c>
      <c r="G147" s="6">
        <v>0.0</v>
      </c>
      <c r="H147" s="4">
        <v>0.002638888888888889</v>
      </c>
      <c r="I147" s="4">
        <v>0.0</v>
      </c>
      <c r="J147" s="4">
        <v>6.944444444444444E-5</v>
      </c>
    </row>
    <row r="148" ht="15.75" customHeight="1">
      <c r="A148" s="3" t="s">
        <v>155</v>
      </c>
      <c r="B148" s="5">
        <v>105.0</v>
      </c>
      <c r="C148" s="6">
        <v>0.0328</v>
      </c>
      <c r="D148" s="6">
        <v>0.0</v>
      </c>
      <c r="E148" s="6">
        <v>0.0</v>
      </c>
      <c r="F148" s="6">
        <v>0.0656</v>
      </c>
      <c r="G148" s="6">
        <v>0.25</v>
      </c>
      <c r="H148" s="4">
        <v>0.002650462962962963</v>
      </c>
      <c r="I148" s="4">
        <v>0.0</v>
      </c>
      <c r="J148" s="4">
        <v>1.0416666666666667E-4</v>
      </c>
    </row>
    <row r="149" ht="15.75" customHeight="1">
      <c r="A149" s="3" t="s">
        <v>156</v>
      </c>
      <c r="B149" s="5">
        <v>106.0</v>
      </c>
      <c r="C149" s="6">
        <v>0.0328</v>
      </c>
      <c r="D149" s="6">
        <v>0.0</v>
      </c>
      <c r="E149" s="6">
        <v>0.0</v>
      </c>
      <c r="F149" s="6">
        <v>0.0656</v>
      </c>
      <c r="G149" s="6">
        <v>0.25</v>
      </c>
      <c r="H149" s="4">
        <v>0.002650462962962963</v>
      </c>
      <c r="I149" s="4">
        <v>0.0</v>
      </c>
      <c r="J149" s="4">
        <v>1.0416666666666667E-4</v>
      </c>
    </row>
    <row r="150" ht="15.75" customHeight="1">
      <c r="A150" s="3" t="s">
        <v>157</v>
      </c>
      <c r="B150" s="5">
        <v>107.0</v>
      </c>
      <c r="C150" s="6">
        <v>0.0328</v>
      </c>
      <c r="D150" s="6">
        <v>0.0</v>
      </c>
      <c r="E150" s="6">
        <v>0.0</v>
      </c>
      <c r="F150" s="6">
        <v>0.0984</v>
      </c>
      <c r="G150" s="6">
        <v>0.0</v>
      </c>
      <c r="H150" s="4">
        <v>0.002824074074074074</v>
      </c>
      <c r="I150" s="4">
        <v>1.1574074074074075E-4</v>
      </c>
      <c r="J150" s="4">
        <v>8.101851851851852E-5</v>
      </c>
    </row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0" footer="0.0" header="0.0" left="0.0" right="0.0" top="0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29.63"/>
    <col customWidth="1" min="3" max="3" width="17.88"/>
    <col customWidth="1" min="4" max="4" width="25.13"/>
    <col customWidth="1" min="5" max="6" width="12.63"/>
  </cols>
  <sheetData>
    <row r="1" ht="15.75" customHeight="1">
      <c r="A1" s="8" t="s">
        <v>182</v>
      </c>
      <c r="B1" s="9" t="s">
        <v>0</v>
      </c>
      <c r="C1" s="10" t="s">
        <v>183</v>
      </c>
      <c r="D1" s="10" t="s">
        <v>184</v>
      </c>
      <c r="E1" s="11" t="s">
        <v>159</v>
      </c>
      <c r="F1" s="12" t="s">
        <v>8</v>
      </c>
      <c r="G1" s="12" t="s">
        <v>160</v>
      </c>
      <c r="H1" s="12" t="s">
        <v>162</v>
      </c>
    </row>
    <row r="2" ht="15.75" customHeight="1">
      <c r="A2" s="13">
        <v>1.0</v>
      </c>
      <c r="B2" s="13" t="s">
        <v>9</v>
      </c>
      <c r="C2" s="13" t="s">
        <v>185</v>
      </c>
      <c r="D2" s="14">
        <v>0.34424768518518517</v>
      </c>
      <c r="E2" s="14">
        <v>0.20693287037037036</v>
      </c>
      <c r="F2" s="14">
        <v>0.04770833333333333</v>
      </c>
      <c r="G2" s="15">
        <v>98.0</v>
      </c>
      <c r="H2" s="16">
        <v>0.56</v>
      </c>
    </row>
    <row r="3" ht="15.75" customHeight="1">
      <c r="A3" s="13">
        <v>2.0</v>
      </c>
      <c r="B3" s="13" t="s">
        <v>10</v>
      </c>
      <c r="C3" s="13" t="s">
        <v>186</v>
      </c>
      <c r="D3" s="14">
        <v>0.3441666666666667</v>
      </c>
      <c r="E3" s="14">
        <v>0.20733796296296297</v>
      </c>
      <c r="F3" s="14">
        <v>0.04859953703703704</v>
      </c>
      <c r="G3" s="15">
        <v>23.0</v>
      </c>
      <c r="H3" s="16">
        <v>0.58</v>
      </c>
    </row>
    <row r="4" ht="15.75" customHeight="1">
      <c r="A4" s="13">
        <v>3.0</v>
      </c>
      <c r="B4" s="13" t="s">
        <v>11</v>
      </c>
      <c r="C4" s="13" t="s">
        <v>187</v>
      </c>
      <c r="D4" s="14">
        <v>0.34510416666666666</v>
      </c>
      <c r="E4" s="14">
        <v>0.20109953703703703</v>
      </c>
      <c r="F4" s="14">
        <v>0.051319444444444445</v>
      </c>
      <c r="G4" s="15">
        <v>28.0</v>
      </c>
      <c r="H4" s="16">
        <v>0.52</v>
      </c>
    </row>
    <row r="5" ht="15.75" customHeight="1">
      <c r="A5" s="13">
        <v>4.0</v>
      </c>
      <c r="B5" s="13" t="s">
        <v>12</v>
      </c>
      <c r="C5" s="13" t="s">
        <v>188</v>
      </c>
      <c r="D5" s="14">
        <v>0.34023148148148147</v>
      </c>
      <c r="E5" s="14">
        <v>0.17884259259259258</v>
      </c>
      <c r="F5" s="14">
        <v>0.09655092592592593</v>
      </c>
      <c r="G5" s="15">
        <v>29.0</v>
      </c>
      <c r="H5" s="16">
        <v>0.48</v>
      </c>
    </row>
    <row r="6" ht="15.75" customHeight="1">
      <c r="A6" s="13">
        <v>5.0</v>
      </c>
      <c r="B6" s="13" t="s">
        <v>13</v>
      </c>
      <c r="C6" s="13" t="s">
        <v>189</v>
      </c>
      <c r="D6" s="14">
        <v>0.3060300925925926</v>
      </c>
      <c r="E6" s="14">
        <v>0.1387037037037037</v>
      </c>
      <c r="F6" s="14">
        <v>0.12844907407407408</v>
      </c>
      <c r="G6" s="15">
        <v>93.0</v>
      </c>
      <c r="H6" s="16">
        <v>0.43</v>
      </c>
    </row>
    <row r="7" ht="15.75" customHeight="1">
      <c r="A7" s="13">
        <v>6.0</v>
      </c>
      <c r="B7" s="13" t="s">
        <v>14</v>
      </c>
      <c r="C7" s="13" t="s">
        <v>190</v>
      </c>
      <c r="D7" s="14">
        <v>0.2084375</v>
      </c>
      <c r="E7" s="14">
        <v>0.15369212962962964</v>
      </c>
      <c r="F7" s="14">
        <v>0.018831018518518518</v>
      </c>
      <c r="G7" s="15">
        <v>92.0</v>
      </c>
      <c r="H7" s="16">
        <v>0.66</v>
      </c>
    </row>
    <row r="8" ht="15.75" customHeight="1">
      <c r="A8" s="13">
        <v>7.0</v>
      </c>
      <c r="B8" s="13" t="s">
        <v>15</v>
      </c>
      <c r="C8" s="13" t="s">
        <v>191</v>
      </c>
      <c r="D8" s="14">
        <v>0.34488425925925925</v>
      </c>
      <c r="E8" s="14">
        <v>0.17553240740740741</v>
      </c>
      <c r="F8" s="14">
        <v>0.11229166666666666</v>
      </c>
      <c r="G8" s="15">
        <v>26.0</v>
      </c>
      <c r="H8" s="16">
        <v>0.49</v>
      </c>
    </row>
    <row r="9" ht="15.75" customHeight="1">
      <c r="A9" s="13">
        <v>8.0</v>
      </c>
      <c r="B9" s="13" t="s">
        <v>16</v>
      </c>
      <c r="C9" s="13" t="s">
        <v>192</v>
      </c>
      <c r="D9" s="14">
        <v>0.3864699074074074</v>
      </c>
      <c r="E9" s="14">
        <v>0.24453703703703702</v>
      </c>
      <c r="F9" s="14">
        <v>0.05081018518518519</v>
      </c>
      <c r="G9" s="15">
        <v>90.0</v>
      </c>
      <c r="H9" s="16">
        <v>0.55</v>
      </c>
    </row>
    <row r="10" ht="15.75" customHeight="1">
      <c r="A10" s="13">
        <v>9.0</v>
      </c>
      <c r="B10" s="13" t="s">
        <v>17</v>
      </c>
      <c r="C10" s="13" t="s">
        <v>193</v>
      </c>
      <c r="D10" s="14">
        <v>0.3425694444444444</v>
      </c>
      <c r="E10" s="14">
        <v>0.20311342592592593</v>
      </c>
      <c r="F10" s="14">
        <v>0.04628472222222222</v>
      </c>
      <c r="G10" s="15">
        <v>89.0</v>
      </c>
      <c r="H10" s="16">
        <v>0.55</v>
      </c>
    </row>
    <row r="11" ht="15.75" customHeight="1">
      <c r="A11" s="13">
        <v>10.0</v>
      </c>
      <c r="B11" s="13" t="s">
        <v>18</v>
      </c>
      <c r="C11" s="13" t="s">
        <v>194</v>
      </c>
      <c r="D11" s="14">
        <v>0.34769675925925925</v>
      </c>
      <c r="E11" s="14">
        <v>0.20702546296296295</v>
      </c>
      <c r="F11" s="14">
        <v>0.04857638888888889</v>
      </c>
      <c r="G11" s="15">
        <v>54.0</v>
      </c>
      <c r="H11" s="16">
        <v>0.57</v>
      </c>
    </row>
    <row r="12" ht="15.75" customHeight="1">
      <c r="A12" s="13">
        <v>11.0</v>
      </c>
      <c r="B12" s="13" t="s">
        <v>19</v>
      </c>
      <c r="C12" s="13" t="s">
        <v>195</v>
      </c>
      <c r="D12" s="14">
        <v>0.34068287037037037</v>
      </c>
      <c r="E12" s="14">
        <v>0.2051851851851852</v>
      </c>
      <c r="F12" s="14">
        <v>0.04809027777777778</v>
      </c>
      <c r="G12" s="15">
        <v>87.0</v>
      </c>
      <c r="H12" s="16">
        <v>0.56</v>
      </c>
    </row>
    <row r="13" ht="15.75" customHeight="1">
      <c r="A13" s="13">
        <v>12.0</v>
      </c>
      <c r="B13" s="13" t="s">
        <v>20</v>
      </c>
      <c r="C13" s="13" t="s">
        <v>196</v>
      </c>
      <c r="D13" s="14">
        <v>0.33622685185185186</v>
      </c>
      <c r="E13" s="14">
        <v>0.158125</v>
      </c>
      <c r="F13" s="14">
        <v>0.12590277777777778</v>
      </c>
      <c r="G13" s="15">
        <v>65.0</v>
      </c>
      <c r="H13" s="16">
        <v>0.42</v>
      </c>
    </row>
    <row r="14" ht="15.75" customHeight="1">
      <c r="A14" s="13">
        <v>13.0</v>
      </c>
      <c r="B14" s="13" t="s">
        <v>21</v>
      </c>
      <c r="C14" s="13" t="s">
        <v>197</v>
      </c>
      <c r="D14" s="14">
        <v>0.34349537037037037</v>
      </c>
      <c r="E14" s="14">
        <v>0.19699074074074074</v>
      </c>
      <c r="F14" s="14">
        <v>0.08797453703703703</v>
      </c>
      <c r="G14" s="15">
        <v>85.0</v>
      </c>
      <c r="H14" s="16">
        <v>0.5</v>
      </c>
    </row>
    <row r="15" ht="15.75" customHeight="1">
      <c r="A15" s="13">
        <v>14.0</v>
      </c>
      <c r="B15" s="13" t="s">
        <v>22</v>
      </c>
      <c r="C15" s="13" t="s">
        <v>198</v>
      </c>
      <c r="D15" s="14">
        <v>0.3332175925925926</v>
      </c>
      <c r="E15" s="14">
        <v>0.19475694444444444</v>
      </c>
      <c r="F15" s="14">
        <v>0.04900462962962963</v>
      </c>
      <c r="G15" s="15">
        <v>65.0</v>
      </c>
      <c r="H15" s="16">
        <v>0.51</v>
      </c>
    </row>
    <row r="16" ht="15.75" customHeight="1">
      <c r="A16" s="13">
        <v>15.0</v>
      </c>
      <c r="B16" s="13" t="s">
        <v>23</v>
      </c>
      <c r="C16" s="13" t="s">
        <v>199</v>
      </c>
      <c r="D16" s="14">
        <v>0.3451273148148148</v>
      </c>
      <c r="E16" s="14">
        <v>0.2066550925925926</v>
      </c>
      <c r="F16" s="14">
        <v>0.053460648148148146</v>
      </c>
      <c r="G16" s="15">
        <v>83.0</v>
      </c>
      <c r="H16" s="16">
        <v>0.51</v>
      </c>
    </row>
    <row r="17" ht="15.75" customHeight="1">
      <c r="A17" s="13">
        <v>16.0</v>
      </c>
      <c r="B17" s="13" t="s">
        <v>24</v>
      </c>
      <c r="C17" s="13" t="s">
        <v>200</v>
      </c>
      <c r="D17" s="14">
        <v>0.3453125</v>
      </c>
      <c r="E17" s="14">
        <v>0.17390046296296297</v>
      </c>
      <c r="F17" s="14">
        <v>0.10023148148148148</v>
      </c>
      <c r="G17" s="15">
        <v>82.0</v>
      </c>
      <c r="H17" s="16">
        <v>0.48</v>
      </c>
    </row>
    <row r="18" ht="15.75" customHeight="1">
      <c r="A18" s="13">
        <v>17.0</v>
      </c>
      <c r="B18" s="13" t="s">
        <v>25</v>
      </c>
      <c r="C18" s="13" t="s">
        <v>200</v>
      </c>
      <c r="D18" s="14">
        <v>0.3284837962962963</v>
      </c>
      <c r="E18" s="14">
        <v>0.1973611111111111</v>
      </c>
      <c r="F18" s="14">
        <v>0.03922453703703704</v>
      </c>
      <c r="G18" s="15">
        <v>81.0</v>
      </c>
      <c r="H18" s="16">
        <v>0.57</v>
      </c>
    </row>
    <row r="19" ht="15.75" customHeight="1">
      <c r="A19" s="13">
        <v>18.0</v>
      </c>
      <c r="B19" s="13" t="s">
        <v>26</v>
      </c>
      <c r="C19" s="13" t="s">
        <v>200</v>
      </c>
      <c r="D19" s="14">
        <v>0.3449421296296296</v>
      </c>
      <c r="E19" s="14">
        <v>0.20702546296296295</v>
      </c>
      <c r="F19" s="14">
        <v>0.04869212962962963</v>
      </c>
      <c r="G19" s="15">
        <v>80.0</v>
      </c>
      <c r="H19" s="16">
        <v>0.56</v>
      </c>
    </row>
    <row r="20" ht="15.75" customHeight="1">
      <c r="A20" s="13">
        <v>19.0</v>
      </c>
      <c r="B20" s="13" t="s">
        <v>27</v>
      </c>
      <c r="C20" s="13" t="s">
        <v>200</v>
      </c>
      <c r="D20" s="14">
        <v>0.34810185185185183</v>
      </c>
      <c r="E20" s="14">
        <v>0.1826736111111111</v>
      </c>
      <c r="F20" s="14">
        <v>0.11122685185185185</v>
      </c>
      <c r="G20" s="15">
        <v>79.0</v>
      </c>
      <c r="H20" s="16">
        <v>0.47</v>
      </c>
    </row>
    <row r="21" ht="15.75" customHeight="1">
      <c r="A21" s="13">
        <v>20.0</v>
      </c>
      <c r="B21" s="13" t="s">
        <v>28</v>
      </c>
      <c r="C21" s="13" t="s">
        <v>201</v>
      </c>
      <c r="D21" s="14">
        <v>0.34574074074074074</v>
      </c>
      <c r="E21" s="14">
        <v>0.20710648148148147</v>
      </c>
      <c r="F21" s="14">
        <v>0.05173611111111111</v>
      </c>
      <c r="G21" s="15">
        <v>78.0</v>
      </c>
      <c r="H21" s="16">
        <v>0.58</v>
      </c>
    </row>
    <row r="22" ht="15.75" customHeight="1">
      <c r="A22" s="13">
        <v>21.0</v>
      </c>
      <c r="B22" s="13" t="s">
        <v>29</v>
      </c>
      <c r="C22" s="13" t="s">
        <v>202</v>
      </c>
      <c r="D22" s="14">
        <v>0.34283564814814815</v>
      </c>
      <c r="E22" s="14">
        <v>0.2039351851851852</v>
      </c>
      <c r="F22" s="14">
        <v>0.046516203703703705</v>
      </c>
      <c r="G22" s="15">
        <v>77.0</v>
      </c>
      <c r="H22" s="16">
        <v>0.58</v>
      </c>
    </row>
    <row r="23" ht="15.75" customHeight="1">
      <c r="A23" s="13">
        <v>22.0</v>
      </c>
      <c r="B23" s="13" t="s">
        <v>30</v>
      </c>
      <c r="C23" s="13" t="s">
        <v>203</v>
      </c>
      <c r="D23" s="14">
        <v>0.3455324074074074</v>
      </c>
      <c r="E23" s="14">
        <v>0.2082175925925926</v>
      </c>
      <c r="F23" s="14">
        <v>0.04846064814814815</v>
      </c>
      <c r="G23" s="15">
        <v>76.0</v>
      </c>
      <c r="H23" s="16">
        <v>0.59</v>
      </c>
    </row>
    <row r="24" ht="15.75" customHeight="1">
      <c r="A24" s="13">
        <v>23.0</v>
      </c>
      <c r="B24" s="13" t="s">
        <v>31</v>
      </c>
      <c r="C24" s="13" t="s">
        <v>204</v>
      </c>
      <c r="D24" s="14">
        <v>0.3206481481481481</v>
      </c>
      <c r="E24" s="14">
        <v>0.17288194444444444</v>
      </c>
      <c r="F24" s="14">
        <v>0.09048611111111111</v>
      </c>
      <c r="G24" s="15">
        <v>75.0</v>
      </c>
      <c r="H24" s="16">
        <v>0.46</v>
      </c>
    </row>
    <row r="25" ht="15.75" customHeight="1">
      <c r="A25" s="13">
        <v>24.0</v>
      </c>
      <c r="B25" s="13" t="s">
        <v>32</v>
      </c>
      <c r="C25" s="13" t="s">
        <v>205</v>
      </c>
      <c r="D25" s="14">
        <v>0.34032407407407406</v>
      </c>
      <c r="E25" s="14">
        <v>0.17644675925925926</v>
      </c>
      <c r="F25" s="14">
        <v>0.09116898148148148</v>
      </c>
      <c r="G25" s="15">
        <v>74.0</v>
      </c>
      <c r="H25" s="16">
        <v>0.48</v>
      </c>
    </row>
    <row r="26" ht="15.75" customHeight="1">
      <c r="A26" s="13">
        <v>25.0</v>
      </c>
      <c r="B26" s="13" t="s">
        <v>33</v>
      </c>
      <c r="C26" s="13" t="s">
        <v>206</v>
      </c>
      <c r="D26" s="14">
        <v>0.34328703703703706</v>
      </c>
      <c r="E26" s="14">
        <v>0.22703703703703704</v>
      </c>
      <c r="F26" s="14">
        <v>0.050625</v>
      </c>
      <c r="G26" s="15">
        <v>73.0</v>
      </c>
      <c r="H26" s="16">
        <v>0.6</v>
      </c>
    </row>
    <row r="27" ht="15.75" customHeight="1">
      <c r="A27" s="13">
        <v>26.0</v>
      </c>
      <c r="B27" s="13" t="s">
        <v>34</v>
      </c>
      <c r="C27" s="13" t="s">
        <v>207</v>
      </c>
      <c r="D27" s="14">
        <v>0.3166319444444444</v>
      </c>
      <c r="E27" s="14">
        <v>0.21199074074074073</v>
      </c>
      <c r="F27" s="14">
        <v>0.021180555555555557</v>
      </c>
      <c r="G27" s="15">
        <v>72.0</v>
      </c>
      <c r="H27" s="16">
        <v>0.65</v>
      </c>
    </row>
    <row r="28" ht="15.75" customHeight="1">
      <c r="A28" s="13">
        <v>27.0</v>
      </c>
      <c r="B28" s="13" t="s">
        <v>35</v>
      </c>
      <c r="C28" s="13" t="s">
        <v>208</v>
      </c>
      <c r="D28" s="14">
        <v>0.3451273148148148</v>
      </c>
      <c r="E28" s="14">
        <v>0.20607638888888888</v>
      </c>
      <c r="F28" s="14">
        <v>0.04976851851851852</v>
      </c>
      <c r="G28" s="15">
        <v>71.0</v>
      </c>
      <c r="H28" s="16">
        <v>0.55</v>
      </c>
    </row>
    <row r="29" ht="15.75" customHeight="1">
      <c r="A29" s="13">
        <v>28.0</v>
      </c>
      <c r="B29" s="13" t="s">
        <v>36</v>
      </c>
      <c r="C29" s="13" t="s">
        <v>209</v>
      </c>
      <c r="D29" s="14">
        <v>0.34297453703703706</v>
      </c>
      <c r="E29" s="14">
        <v>0.2127314814814815</v>
      </c>
      <c r="F29" s="14">
        <v>0.04864583333333333</v>
      </c>
      <c r="G29" s="15">
        <v>70.0</v>
      </c>
      <c r="H29" s="16">
        <v>0.51</v>
      </c>
    </row>
    <row r="30" ht="15.75" customHeight="1">
      <c r="A30" s="13">
        <v>29.0</v>
      </c>
      <c r="B30" s="13" t="s">
        <v>37</v>
      </c>
      <c r="C30" s="13" t="s">
        <v>210</v>
      </c>
      <c r="D30" s="14">
        <v>0.3438773148148148</v>
      </c>
      <c r="E30" s="14">
        <v>0.17480324074074075</v>
      </c>
      <c r="F30" s="14">
        <v>0.11449074074074074</v>
      </c>
      <c r="G30" s="15">
        <v>69.0</v>
      </c>
      <c r="H30" s="16">
        <v>0.44</v>
      </c>
    </row>
    <row r="31" ht="15.75" customHeight="1">
      <c r="A31" s="13">
        <v>30.0</v>
      </c>
      <c r="B31" s="13" t="s">
        <v>38</v>
      </c>
      <c r="C31" s="13" t="s">
        <v>211</v>
      </c>
      <c r="D31" s="14">
        <v>0.31069444444444444</v>
      </c>
      <c r="E31" s="14">
        <v>0.1912962962962963</v>
      </c>
      <c r="F31" s="14">
        <v>0.05578703703703704</v>
      </c>
      <c r="G31" s="15">
        <v>68.0</v>
      </c>
      <c r="H31" s="16">
        <v>0.53</v>
      </c>
    </row>
    <row r="32" ht="15.75" customHeight="1">
      <c r="A32" s="13">
        <v>31.0</v>
      </c>
      <c r="B32" s="13" t="s">
        <v>39</v>
      </c>
      <c r="C32" s="13" t="s">
        <v>212</v>
      </c>
      <c r="D32" s="14">
        <v>0.3332986111111111</v>
      </c>
      <c r="E32" s="14">
        <v>0.21824074074074074</v>
      </c>
      <c r="F32" s="14">
        <v>0.04809027777777778</v>
      </c>
      <c r="G32" s="15">
        <v>67.0</v>
      </c>
      <c r="H32" s="16">
        <v>0.56</v>
      </c>
    </row>
    <row r="33" ht="15.75" customHeight="1">
      <c r="A33" s="13">
        <v>32.0</v>
      </c>
      <c r="B33" s="13" t="s">
        <v>40</v>
      </c>
      <c r="C33" s="13" t="s">
        <v>213</v>
      </c>
      <c r="D33" s="14">
        <v>0.34564814814814815</v>
      </c>
      <c r="E33" s="14">
        <v>0.21184027777777778</v>
      </c>
      <c r="F33" s="14">
        <v>0.08974537037037036</v>
      </c>
      <c r="G33" s="15">
        <v>66.0</v>
      </c>
      <c r="H33" s="16">
        <v>0.5</v>
      </c>
    </row>
    <row r="34" ht="15.75" customHeight="1">
      <c r="A34" s="13">
        <v>33.0</v>
      </c>
      <c r="B34" s="13" t="s">
        <v>41</v>
      </c>
      <c r="C34" s="13" t="s">
        <v>214</v>
      </c>
      <c r="D34" s="14">
        <v>0.34664351851851855</v>
      </c>
      <c r="E34" s="14">
        <v>0.2078125</v>
      </c>
      <c r="F34" s="14">
        <v>0.04795138888888889</v>
      </c>
      <c r="G34" s="15">
        <v>65.0</v>
      </c>
      <c r="H34" s="16">
        <v>0.56</v>
      </c>
    </row>
    <row r="35" ht="15.75" customHeight="1">
      <c r="A35" s="13">
        <v>34.0</v>
      </c>
      <c r="B35" s="13" t="s">
        <v>42</v>
      </c>
      <c r="C35" s="13" t="s">
        <v>215</v>
      </c>
      <c r="D35" s="14">
        <v>0.34471064814814817</v>
      </c>
      <c r="E35" s="14">
        <v>0.20981481481481482</v>
      </c>
      <c r="F35" s="14">
        <v>0.04856481481481482</v>
      </c>
      <c r="G35" s="15">
        <v>64.0</v>
      </c>
      <c r="H35" s="16">
        <v>0.58</v>
      </c>
    </row>
    <row r="36" ht="15.75" customHeight="1">
      <c r="A36" s="13">
        <v>35.0</v>
      </c>
      <c r="B36" s="13" t="s">
        <v>43</v>
      </c>
      <c r="C36" s="13" t="s">
        <v>216</v>
      </c>
      <c r="D36" s="14">
        <v>0.3192361111111111</v>
      </c>
      <c r="E36" s="14">
        <v>0.18953703703703703</v>
      </c>
      <c r="F36" s="14">
        <v>0.06121527777777778</v>
      </c>
      <c r="G36" s="15">
        <v>63.0</v>
      </c>
      <c r="H36" s="16">
        <v>0.56</v>
      </c>
    </row>
    <row r="37" ht="15.75" customHeight="1">
      <c r="A37" s="13">
        <v>36.0</v>
      </c>
      <c r="B37" s="13" t="s">
        <v>44</v>
      </c>
      <c r="C37" s="13" t="s">
        <v>217</v>
      </c>
      <c r="D37" s="14">
        <v>0.3412847222222222</v>
      </c>
      <c r="E37" s="14">
        <v>0.17200231481481482</v>
      </c>
      <c r="F37" s="14">
        <v>0.10777777777777778</v>
      </c>
      <c r="G37" s="15">
        <v>62.0</v>
      </c>
      <c r="H37" s="16">
        <v>0.48</v>
      </c>
    </row>
    <row r="38" ht="15.75" customHeight="1">
      <c r="A38" s="13">
        <v>37.0</v>
      </c>
      <c r="B38" s="13" t="s">
        <v>45</v>
      </c>
      <c r="C38" s="13" t="s">
        <v>218</v>
      </c>
      <c r="D38" s="14">
        <v>0.34012731481481484</v>
      </c>
      <c r="E38" s="14">
        <v>0.20243055555555556</v>
      </c>
      <c r="F38" s="14">
        <v>0.04833333333333333</v>
      </c>
      <c r="G38" s="15">
        <v>61.0</v>
      </c>
      <c r="H38" s="16">
        <v>0.56</v>
      </c>
    </row>
    <row r="39" ht="15.75" customHeight="1">
      <c r="A39" s="13">
        <v>38.0</v>
      </c>
      <c r="B39" s="13" t="s">
        <v>46</v>
      </c>
      <c r="C39" s="13" t="s">
        <v>219</v>
      </c>
      <c r="D39" s="14">
        <v>0.3442824074074074</v>
      </c>
      <c r="E39" s="14">
        <v>0.20569444444444446</v>
      </c>
      <c r="F39" s="14">
        <v>0.04912037037037037</v>
      </c>
      <c r="G39" s="15">
        <v>60.0</v>
      </c>
      <c r="H39" s="16">
        <v>0.53</v>
      </c>
    </row>
    <row r="40" ht="15.75" customHeight="1">
      <c r="A40" s="13">
        <v>39.0</v>
      </c>
      <c r="B40" s="13" t="s">
        <v>47</v>
      </c>
      <c r="C40" s="13" t="s">
        <v>220</v>
      </c>
      <c r="D40" s="14">
        <v>0.3439699074074074</v>
      </c>
      <c r="E40" s="14">
        <v>0.2062037037037037</v>
      </c>
      <c r="F40" s="14">
        <v>0.04892361111111111</v>
      </c>
      <c r="G40" s="15">
        <v>59.0</v>
      </c>
      <c r="H40" s="16">
        <v>0.57</v>
      </c>
    </row>
    <row r="41" ht="15.75" customHeight="1">
      <c r="A41" s="13">
        <v>40.0</v>
      </c>
      <c r="B41" s="13" t="s">
        <v>48</v>
      </c>
      <c r="C41" s="13" t="s">
        <v>221</v>
      </c>
      <c r="D41" s="14">
        <v>0.34541666666666665</v>
      </c>
      <c r="E41" s="14">
        <v>0.22590277777777779</v>
      </c>
      <c r="F41" s="14">
        <v>0.04875</v>
      </c>
      <c r="G41" s="15">
        <v>58.0</v>
      </c>
      <c r="H41" s="16">
        <v>0.49</v>
      </c>
    </row>
    <row r="42" ht="15.75" customHeight="1">
      <c r="A42" s="13">
        <v>41.0</v>
      </c>
      <c r="B42" s="13" t="s">
        <v>49</v>
      </c>
      <c r="C42" s="13" t="s">
        <v>222</v>
      </c>
      <c r="D42" s="14">
        <v>0.34445601851851854</v>
      </c>
      <c r="E42" s="14">
        <v>0.20725694444444445</v>
      </c>
      <c r="F42" s="14">
        <v>0.04699074074074074</v>
      </c>
      <c r="G42" s="15">
        <v>57.0</v>
      </c>
      <c r="H42" s="16">
        <v>0.57</v>
      </c>
    </row>
    <row r="43" ht="15.75" customHeight="1">
      <c r="A43" s="13">
        <v>42.0</v>
      </c>
      <c r="B43" s="13" t="s">
        <v>50</v>
      </c>
      <c r="C43" s="13" t="s">
        <v>223</v>
      </c>
      <c r="D43" s="14">
        <v>0.3334259259259259</v>
      </c>
      <c r="E43" s="14">
        <v>0.1627199074074074</v>
      </c>
      <c r="F43" s="14">
        <v>0.100625</v>
      </c>
      <c r="G43" s="15">
        <v>56.0</v>
      </c>
      <c r="H43" s="16">
        <v>0.47</v>
      </c>
    </row>
    <row r="44" ht="15.75" customHeight="1">
      <c r="A44" s="13">
        <v>43.0</v>
      </c>
      <c r="B44" s="13" t="s">
        <v>51</v>
      </c>
      <c r="C44" s="13" t="s">
        <v>224</v>
      </c>
      <c r="D44" s="14">
        <v>0.20945601851851853</v>
      </c>
      <c r="E44" s="14">
        <v>0.13993055555555556</v>
      </c>
      <c r="F44" s="14">
        <v>0.010416666666666666</v>
      </c>
      <c r="G44" s="15">
        <v>55.0</v>
      </c>
      <c r="H44" s="16">
        <v>0.64</v>
      </c>
    </row>
    <row r="45" ht="15.75" customHeight="1">
      <c r="A45" s="13">
        <v>44.0</v>
      </c>
      <c r="B45" s="13" t="s">
        <v>52</v>
      </c>
      <c r="C45" s="13" t="s">
        <v>225</v>
      </c>
      <c r="D45" s="14">
        <v>0.3519212962962963</v>
      </c>
      <c r="E45" s="14">
        <v>0.22140046296296295</v>
      </c>
      <c r="F45" s="14">
        <v>0.0484375</v>
      </c>
      <c r="G45" s="15">
        <v>54.0</v>
      </c>
      <c r="H45" s="16">
        <v>0.57</v>
      </c>
    </row>
    <row r="46" ht="15.75" customHeight="1">
      <c r="A46" s="13">
        <v>45.0</v>
      </c>
      <c r="B46" s="13" t="s">
        <v>53</v>
      </c>
      <c r="C46" s="13" t="s">
        <v>226</v>
      </c>
      <c r="D46" s="14">
        <v>0.3287615740740741</v>
      </c>
      <c r="E46" s="14">
        <v>0.2266087962962963</v>
      </c>
      <c r="F46" s="14">
        <v>0.039108796296296294</v>
      </c>
      <c r="G46" s="15">
        <v>53.0</v>
      </c>
      <c r="H46" s="16">
        <v>0.65</v>
      </c>
    </row>
    <row r="47" ht="15.75" customHeight="1">
      <c r="A47" s="13">
        <v>46.0</v>
      </c>
      <c r="B47" s="13" t="s">
        <v>54</v>
      </c>
      <c r="C47" s="13" t="s">
        <v>227</v>
      </c>
      <c r="D47" s="14">
        <v>0.33435185185185184</v>
      </c>
      <c r="E47" s="14">
        <v>0.17586805555555557</v>
      </c>
      <c r="F47" s="14">
        <v>0.09055555555555556</v>
      </c>
      <c r="G47" s="15">
        <v>52.0</v>
      </c>
      <c r="H47" s="16">
        <v>0.5</v>
      </c>
    </row>
    <row r="48" ht="15.75" customHeight="1">
      <c r="A48" s="13">
        <v>47.0</v>
      </c>
      <c r="B48" s="13" t="s">
        <v>55</v>
      </c>
      <c r="C48" s="13" t="s">
        <v>228</v>
      </c>
      <c r="D48" s="14">
        <v>0.3483101851851852</v>
      </c>
      <c r="E48" s="14">
        <v>0.21436342592592592</v>
      </c>
      <c r="F48" s="14">
        <v>0.048240740740740744</v>
      </c>
      <c r="G48" s="15">
        <v>51.0</v>
      </c>
      <c r="H48" s="16">
        <v>0.55</v>
      </c>
    </row>
    <row r="49" ht="15.75" customHeight="1">
      <c r="A49" s="13">
        <v>48.0</v>
      </c>
      <c r="B49" s="13" t="s">
        <v>56</v>
      </c>
      <c r="C49" s="13" t="s">
        <v>229</v>
      </c>
      <c r="D49" s="14">
        <v>0.3440740740740741</v>
      </c>
      <c r="E49" s="14">
        <v>0.1979861111111111</v>
      </c>
      <c r="F49" s="14">
        <v>0.0484375</v>
      </c>
      <c r="G49" s="15">
        <v>50.0</v>
      </c>
      <c r="H49" s="16">
        <v>0.55</v>
      </c>
    </row>
    <row r="50" ht="15.75" customHeight="1">
      <c r="A50" s="13">
        <v>49.0</v>
      </c>
      <c r="B50" s="13" t="s">
        <v>57</v>
      </c>
      <c r="C50" s="13" t="s">
        <v>230</v>
      </c>
      <c r="D50" s="14">
        <v>0.3328587962962963</v>
      </c>
      <c r="E50" s="14">
        <v>0.1959837962962963</v>
      </c>
      <c r="F50" s="14">
        <v>0.04873842592592593</v>
      </c>
      <c r="G50" s="15">
        <v>49.0</v>
      </c>
      <c r="H50" s="16">
        <v>0.55</v>
      </c>
    </row>
    <row r="51" ht="15.75" customHeight="1">
      <c r="A51" s="13">
        <v>50.0</v>
      </c>
      <c r="B51" s="13" t="s">
        <v>58</v>
      </c>
      <c r="C51" s="13" t="s">
        <v>231</v>
      </c>
      <c r="D51" s="14">
        <v>0.20570601851851852</v>
      </c>
      <c r="E51" s="14">
        <v>0.13252314814814814</v>
      </c>
      <c r="F51" s="14">
        <v>0.012615740740740742</v>
      </c>
      <c r="G51" s="15">
        <v>48.0</v>
      </c>
      <c r="H51" s="16">
        <v>0.59</v>
      </c>
    </row>
    <row r="52" ht="15.75" customHeight="1">
      <c r="A52" s="13">
        <v>51.0</v>
      </c>
      <c r="B52" s="13" t="s">
        <v>59</v>
      </c>
      <c r="C52" s="13" t="s">
        <v>232</v>
      </c>
      <c r="D52" s="14">
        <v>0.32318287037037036</v>
      </c>
      <c r="E52" s="14">
        <v>0.19381944444444443</v>
      </c>
      <c r="F52" s="14">
        <v>0.05189814814814815</v>
      </c>
      <c r="G52" s="15">
        <v>47.0</v>
      </c>
      <c r="H52" s="16">
        <v>0.56</v>
      </c>
    </row>
    <row r="53" ht="15.75" customHeight="1">
      <c r="A53" s="13">
        <v>52.0</v>
      </c>
      <c r="B53" s="13" t="s">
        <v>60</v>
      </c>
      <c r="C53" s="13" t="s">
        <v>233</v>
      </c>
      <c r="D53" s="14">
        <v>0.3334837962962963</v>
      </c>
      <c r="E53" s="14">
        <v>0.19890046296296296</v>
      </c>
      <c r="F53" s="14">
        <v>0.048657407407407406</v>
      </c>
      <c r="G53" s="15">
        <v>46.0</v>
      </c>
      <c r="H53" s="16">
        <v>0.56</v>
      </c>
    </row>
    <row r="54" ht="15.75" customHeight="1">
      <c r="A54" s="13">
        <v>53.0</v>
      </c>
      <c r="B54" s="13" t="s">
        <v>61</v>
      </c>
      <c r="C54" s="13" t="s">
        <v>234</v>
      </c>
      <c r="D54" s="14">
        <v>0.340150462962963</v>
      </c>
      <c r="E54" s="14">
        <v>0.20222222222222222</v>
      </c>
      <c r="F54" s="14">
        <v>0.04871527777777778</v>
      </c>
      <c r="G54" s="15">
        <v>45.0</v>
      </c>
      <c r="H54" s="16">
        <v>0.53</v>
      </c>
    </row>
    <row r="55" ht="15.75" customHeight="1">
      <c r="A55" s="13">
        <v>54.0</v>
      </c>
      <c r="B55" s="13" t="s">
        <v>62</v>
      </c>
      <c r="C55" s="13" t="s">
        <v>235</v>
      </c>
      <c r="D55" s="14">
        <v>0.3431134259259259</v>
      </c>
      <c r="E55" s="14">
        <v>0.21112268518518518</v>
      </c>
      <c r="F55" s="14">
        <v>0.0490625</v>
      </c>
      <c r="G55" s="15">
        <v>44.0</v>
      </c>
      <c r="H55" s="16">
        <v>0.55</v>
      </c>
    </row>
    <row r="56" ht="15.75" customHeight="1">
      <c r="A56" s="13">
        <v>55.0</v>
      </c>
      <c r="B56" s="13" t="s">
        <v>63</v>
      </c>
      <c r="C56" s="13" t="s">
        <v>236</v>
      </c>
      <c r="D56" s="14">
        <v>0.32046296296296295</v>
      </c>
      <c r="E56" s="14">
        <v>0.18484953703703705</v>
      </c>
      <c r="F56" s="14">
        <v>0.04914351851851852</v>
      </c>
      <c r="G56" s="15">
        <v>43.0</v>
      </c>
      <c r="H56" s="16">
        <v>0.53</v>
      </c>
    </row>
    <row r="57" ht="15.75" customHeight="1">
      <c r="A57" s="13">
        <v>56.0</v>
      </c>
      <c r="B57" s="13" t="s">
        <v>64</v>
      </c>
      <c r="C57" s="13" t="s">
        <v>237</v>
      </c>
      <c r="D57" s="14">
        <v>0.3338425925925926</v>
      </c>
      <c r="E57" s="14">
        <v>0.1867824074074074</v>
      </c>
      <c r="F57" s="14">
        <v>0.04853009259259259</v>
      </c>
      <c r="G57" s="15">
        <v>42.0</v>
      </c>
      <c r="H57" s="16">
        <v>0.53</v>
      </c>
    </row>
    <row r="58" ht="15.75" customHeight="1">
      <c r="A58" s="13">
        <v>57.0</v>
      </c>
      <c r="B58" s="13" t="s">
        <v>65</v>
      </c>
      <c r="C58" s="13" t="s">
        <v>237</v>
      </c>
      <c r="D58" s="14">
        <v>0.33012731481481483</v>
      </c>
      <c r="E58" s="14">
        <v>0.18739583333333334</v>
      </c>
      <c r="F58" s="14">
        <v>0.052766203703703704</v>
      </c>
      <c r="G58" s="15">
        <v>41.0</v>
      </c>
      <c r="H58" s="16">
        <v>0.53</v>
      </c>
    </row>
    <row r="59" ht="15.75" customHeight="1">
      <c r="A59" s="13">
        <v>58.0</v>
      </c>
      <c r="B59" s="13" t="s">
        <v>66</v>
      </c>
      <c r="C59" s="13" t="s">
        <v>238</v>
      </c>
      <c r="D59" s="14">
        <v>0.34032407407407406</v>
      </c>
      <c r="E59" s="14">
        <v>0.2115162037037037</v>
      </c>
      <c r="F59" s="14">
        <v>0.049756944444444444</v>
      </c>
      <c r="G59" s="15">
        <v>40.0</v>
      </c>
      <c r="H59" s="16">
        <v>0.59</v>
      </c>
    </row>
    <row r="60" ht="15.75" customHeight="1">
      <c r="A60" s="13">
        <v>59.0</v>
      </c>
      <c r="B60" s="13" t="s">
        <v>67</v>
      </c>
      <c r="C60" s="13" t="s">
        <v>239</v>
      </c>
      <c r="D60" s="14">
        <v>0.3371412037037037</v>
      </c>
      <c r="E60" s="14">
        <v>0.13162037037037036</v>
      </c>
      <c r="F60" s="14">
        <v>0.14913194444444444</v>
      </c>
      <c r="G60" s="15">
        <v>39.0</v>
      </c>
      <c r="H60" s="16">
        <v>0.35</v>
      </c>
    </row>
    <row r="61" ht="15.75" customHeight="1">
      <c r="A61" s="13">
        <v>60.0</v>
      </c>
      <c r="B61" s="13" t="s">
        <v>68</v>
      </c>
      <c r="C61" s="13" t="s">
        <v>240</v>
      </c>
      <c r="D61" s="14">
        <v>0.3436458333333333</v>
      </c>
      <c r="E61" s="14">
        <v>0.1724652777777778</v>
      </c>
      <c r="F61" s="14">
        <v>0.09194444444444444</v>
      </c>
      <c r="G61" s="15">
        <v>38.0</v>
      </c>
      <c r="H61" s="16">
        <v>0.48</v>
      </c>
    </row>
    <row r="62" ht="15.75" customHeight="1">
      <c r="A62" s="13">
        <v>61.0</v>
      </c>
      <c r="B62" s="13" t="s">
        <v>69</v>
      </c>
      <c r="C62" s="13" t="s">
        <v>241</v>
      </c>
      <c r="D62" s="14">
        <v>0.21915509259259258</v>
      </c>
      <c r="E62" s="14">
        <v>0.15189814814814814</v>
      </c>
      <c r="F62" s="14">
        <v>0.010821759259259258</v>
      </c>
      <c r="G62" s="15">
        <v>37.0</v>
      </c>
      <c r="H62" s="16">
        <v>0.63</v>
      </c>
    </row>
    <row r="63" ht="15.75" customHeight="1">
      <c r="A63" s="13">
        <v>62.0</v>
      </c>
      <c r="B63" s="13" t="s">
        <v>70</v>
      </c>
      <c r="C63" s="13" t="s">
        <v>242</v>
      </c>
      <c r="D63" s="14">
        <v>0.3417824074074074</v>
      </c>
      <c r="E63" s="14">
        <v>0.17645833333333333</v>
      </c>
      <c r="F63" s="14">
        <v>0.09244212962962962</v>
      </c>
      <c r="G63" s="15">
        <v>36.0</v>
      </c>
      <c r="H63" s="16">
        <v>0.48</v>
      </c>
    </row>
    <row r="64" ht="15.75" customHeight="1">
      <c r="A64" s="13">
        <v>63.0</v>
      </c>
      <c r="B64" s="13" t="s">
        <v>71</v>
      </c>
      <c r="C64" s="13" t="s">
        <v>243</v>
      </c>
      <c r="D64" s="14">
        <v>0.3337037037037037</v>
      </c>
      <c r="E64" s="14">
        <v>0.16336805555555556</v>
      </c>
      <c r="F64" s="14">
        <v>0.11005787037037038</v>
      </c>
      <c r="G64" s="15">
        <v>35.0</v>
      </c>
      <c r="H64" s="16">
        <v>0.44</v>
      </c>
    </row>
    <row r="65" ht="15.75" customHeight="1">
      <c r="A65" s="13">
        <v>64.0</v>
      </c>
      <c r="B65" s="13" t="s">
        <v>72</v>
      </c>
      <c r="C65" s="13" t="s">
        <v>244</v>
      </c>
      <c r="D65" s="14">
        <v>0.3302662037037037</v>
      </c>
      <c r="E65" s="14">
        <v>0.1602199074074074</v>
      </c>
      <c r="F65" s="14">
        <v>0.10043981481481482</v>
      </c>
      <c r="G65" s="15">
        <v>34.0</v>
      </c>
      <c r="H65" s="16">
        <v>0.45</v>
      </c>
    </row>
    <row r="66" ht="15.75" customHeight="1">
      <c r="A66" s="13">
        <v>65.0</v>
      </c>
      <c r="B66" s="13" t="s">
        <v>73</v>
      </c>
      <c r="C66" s="13" t="s">
        <v>245</v>
      </c>
      <c r="D66" s="14">
        <v>0.2091087962962963</v>
      </c>
      <c r="E66" s="14">
        <v>0.13449074074074074</v>
      </c>
      <c r="F66" s="14">
        <v>0.02053240740740741</v>
      </c>
      <c r="G66" s="15">
        <v>33.0</v>
      </c>
      <c r="H66" s="16">
        <v>0.61</v>
      </c>
    </row>
    <row r="67" ht="15.75" customHeight="1">
      <c r="A67" s="13">
        <v>66.0</v>
      </c>
      <c r="B67" s="13" t="s">
        <v>74</v>
      </c>
      <c r="C67" s="13" t="s">
        <v>246</v>
      </c>
      <c r="D67" s="14">
        <v>0.34836805555555556</v>
      </c>
      <c r="E67" s="14">
        <v>0.19697916666666668</v>
      </c>
      <c r="F67" s="14">
        <v>0.051423611111111114</v>
      </c>
      <c r="G67" s="15">
        <v>32.0</v>
      </c>
      <c r="H67" s="16">
        <v>0.52</v>
      </c>
    </row>
    <row r="68" ht="15.75" customHeight="1">
      <c r="A68" s="13">
        <v>67.0</v>
      </c>
      <c r="B68" s="13" t="s">
        <v>75</v>
      </c>
      <c r="C68" s="13" t="s">
        <v>247</v>
      </c>
      <c r="D68" s="14">
        <v>0.34686342592592595</v>
      </c>
      <c r="E68" s="14">
        <v>0.20438657407407407</v>
      </c>
      <c r="F68" s="14">
        <v>0.04753472222222222</v>
      </c>
      <c r="G68" s="15">
        <v>31.0</v>
      </c>
      <c r="H68" s="16">
        <v>0.56</v>
      </c>
    </row>
    <row r="69" ht="15.75" customHeight="1">
      <c r="A69" s="13">
        <v>68.0</v>
      </c>
      <c r="B69" s="13" t="s">
        <v>76</v>
      </c>
      <c r="C69" s="13" t="s">
        <v>248</v>
      </c>
      <c r="D69" s="14">
        <v>0.34806712962962966</v>
      </c>
      <c r="E69" s="14">
        <v>0.19177083333333333</v>
      </c>
      <c r="F69" s="14">
        <v>0.09395833333333334</v>
      </c>
      <c r="G69" s="15">
        <v>30.0</v>
      </c>
      <c r="H69" s="16">
        <v>0.46</v>
      </c>
    </row>
    <row r="70" ht="15.75" customHeight="1">
      <c r="A70" s="13">
        <v>69.0</v>
      </c>
      <c r="B70" s="13" t="s">
        <v>77</v>
      </c>
      <c r="C70" s="13" t="s">
        <v>249</v>
      </c>
      <c r="D70" s="14">
        <v>0.3349537037037037</v>
      </c>
      <c r="E70" s="14">
        <v>0.19739583333333333</v>
      </c>
      <c r="F70" s="14">
        <v>0.04864583333333333</v>
      </c>
      <c r="G70" s="15">
        <v>29.0</v>
      </c>
      <c r="H70" s="16">
        <v>0.53</v>
      </c>
    </row>
    <row r="71" ht="15.75" customHeight="1">
      <c r="A71" s="13">
        <v>70.0</v>
      </c>
      <c r="B71" s="13" t="s">
        <v>78</v>
      </c>
      <c r="C71" s="13" t="s">
        <v>250</v>
      </c>
      <c r="D71" s="14">
        <v>0.34497685185185184</v>
      </c>
      <c r="E71" s="14">
        <v>0.2074652777777778</v>
      </c>
      <c r="F71" s="14">
        <v>0.06765046296296297</v>
      </c>
      <c r="G71" s="15">
        <v>28.0</v>
      </c>
      <c r="H71" s="16">
        <v>0.56</v>
      </c>
    </row>
    <row r="72" ht="15.75" customHeight="1">
      <c r="A72" s="13">
        <v>71.0</v>
      </c>
      <c r="B72" s="13" t="s">
        <v>79</v>
      </c>
      <c r="C72" s="13" t="s">
        <v>251</v>
      </c>
      <c r="D72" s="14">
        <v>0.3337615740740741</v>
      </c>
      <c r="E72" s="14">
        <v>0.19787037037037036</v>
      </c>
      <c r="F72" s="14">
        <v>0.04853009259259259</v>
      </c>
      <c r="G72" s="15">
        <v>29.0</v>
      </c>
      <c r="H72" s="16">
        <v>0.57</v>
      </c>
    </row>
    <row r="73" ht="15.75" customHeight="1">
      <c r="A73" s="13">
        <v>72.0</v>
      </c>
      <c r="B73" s="13" t="s">
        <v>80</v>
      </c>
      <c r="C73" s="13" t="s">
        <v>252</v>
      </c>
      <c r="D73" s="14">
        <v>0.33037037037037037</v>
      </c>
      <c r="E73" s="14">
        <v>0.18496527777777777</v>
      </c>
      <c r="F73" s="14">
        <v>0.0667013888888889</v>
      </c>
      <c r="G73" s="15">
        <v>30.0</v>
      </c>
      <c r="H73" s="16">
        <v>0.48</v>
      </c>
    </row>
    <row r="74" ht="15.75" customHeight="1">
      <c r="A74" s="13">
        <v>73.0</v>
      </c>
      <c r="B74" s="13" t="s">
        <v>81</v>
      </c>
      <c r="C74" s="13" t="s">
        <v>253</v>
      </c>
      <c r="D74" s="14">
        <v>0.3400810185185185</v>
      </c>
      <c r="E74" s="14">
        <v>0.16811342592592593</v>
      </c>
      <c r="F74" s="14">
        <v>0.09159722222222222</v>
      </c>
      <c r="G74" s="15">
        <v>31.0</v>
      </c>
      <c r="H74" s="16">
        <v>0.48</v>
      </c>
    </row>
    <row r="75" ht="15.75" customHeight="1">
      <c r="A75" s="13">
        <v>74.0</v>
      </c>
      <c r="B75" s="13" t="s">
        <v>82</v>
      </c>
      <c r="C75" s="13" t="s">
        <v>254</v>
      </c>
      <c r="D75" s="14">
        <v>0.3341550925925926</v>
      </c>
      <c r="E75" s="14">
        <v>0.16863425925925926</v>
      </c>
      <c r="F75" s="14">
        <v>0.10168981481481482</v>
      </c>
      <c r="G75" s="15">
        <v>32.0</v>
      </c>
      <c r="H75" s="16">
        <v>0.47</v>
      </c>
    </row>
    <row r="76" ht="15.75" customHeight="1">
      <c r="A76" s="13">
        <v>75.0</v>
      </c>
      <c r="B76" s="13" t="s">
        <v>83</v>
      </c>
      <c r="C76" s="13" t="s">
        <v>255</v>
      </c>
      <c r="D76" s="14">
        <v>0.344375</v>
      </c>
      <c r="E76" s="14">
        <v>0.18534722222222222</v>
      </c>
      <c r="F76" s="14">
        <v>0.08016203703703703</v>
      </c>
      <c r="G76" s="15">
        <v>33.0</v>
      </c>
      <c r="H76" s="16">
        <v>0.51</v>
      </c>
    </row>
    <row r="77" ht="15.75" customHeight="1">
      <c r="A77" s="13">
        <v>76.0</v>
      </c>
      <c r="B77" s="13" t="s">
        <v>84</v>
      </c>
      <c r="C77" s="13" t="s">
        <v>256</v>
      </c>
      <c r="D77" s="14">
        <v>0.3558101851851852</v>
      </c>
      <c r="E77" s="14">
        <v>0.2164236111111111</v>
      </c>
      <c r="F77" s="14">
        <v>0.06854166666666667</v>
      </c>
      <c r="G77" s="15">
        <v>34.0</v>
      </c>
      <c r="H77" s="16">
        <v>0.53</v>
      </c>
    </row>
    <row r="78" ht="15.75" customHeight="1">
      <c r="A78" s="13">
        <v>77.0</v>
      </c>
      <c r="B78" s="13" t="s">
        <v>85</v>
      </c>
      <c r="C78" s="13" t="s">
        <v>257</v>
      </c>
      <c r="D78" s="14">
        <v>0.3484837962962963</v>
      </c>
      <c r="E78" s="14">
        <v>0.1276736111111111</v>
      </c>
      <c r="F78" s="14">
        <v>0.17460648148148147</v>
      </c>
      <c r="G78" s="15">
        <v>35.0</v>
      </c>
      <c r="H78" s="16">
        <v>0.35</v>
      </c>
    </row>
    <row r="79" ht="15.75" customHeight="1">
      <c r="A79" s="13">
        <v>78.0</v>
      </c>
      <c r="B79" s="13" t="s">
        <v>86</v>
      </c>
      <c r="C79" s="13" t="s">
        <v>258</v>
      </c>
      <c r="D79" s="14">
        <v>0.3509259259259259</v>
      </c>
      <c r="E79" s="14">
        <v>0.12086805555555556</v>
      </c>
      <c r="F79" s="14">
        <v>0.18131944444444445</v>
      </c>
      <c r="G79" s="15">
        <v>36.0</v>
      </c>
      <c r="H79" s="16">
        <v>0.31</v>
      </c>
    </row>
    <row r="80" ht="15.75" customHeight="1">
      <c r="A80" s="13">
        <v>79.0</v>
      </c>
      <c r="B80" s="13" t="s">
        <v>87</v>
      </c>
      <c r="C80" s="13" t="s">
        <v>259</v>
      </c>
      <c r="D80" s="14">
        <v>0.33891203703703704</v>
      </c>
      <c r="E80" s="14">
        <v>0.2158101851851852</v>
      </c>
      <c r="F80" s="14">
        <v>0.048900462962962965</v>
      </c>
      <c r="G80" s="15">
        <v>37.0</v>
      </c>
      <c r="H80" s="16">
        <v>0.56</v>
      </c>
    </row>
    <row r="81" ht="15.75" customHeight="1">
      <c r="A81" s="13">
        <v>80.0</v>
      </c>
      <c r="B81" s="13" t="s">
        <v>88</v>
      </c>
      <c r="C81" s="13" t="s">
        <v>260</v>
      </c>
      <c r="D81" s="14">
        <v>0.34675925925925927</v>
      </c>
      <c r="E81" s="14">
        <v>0.17275462962962962</v>
      </c>
      <c r="F81" s="14">
        <v>0.10935185185185185</v>
      </c>
      <c r="G81" s="15">
        <v>38.0</v>
      </c>
      <c r="H81" s="16">
        <v>0.46</v>
      </c>
    </row>
    <row r="82" ht="15.75" customHeight="1">
      <c r="A82" s="13">
        <v>81.0</v>
      </c>
      <c r="B82" s="13" t="s">
        <v>89</v>
      </c>
      <c r="C82" s="13" t="s">
        <v>261</v>
      </c>
      <c r="D82" s="14">
        <v>0.3511111111111111</v>
      </c>
      <c r="E82" s="14">
        <v>0.1533912037037037</v>
      </c>
      <c r="F82" s="14">
        <v>0.13890046296296296</v>
      </c>
      <c r="G82" s="15">
        <v>39.0</v>
      </c>
      <c r="H82" s="16">
        <v>0.39</v>
      </c>
    </row>
    <row r="83" ht="15.75" customHeight="1">
      <c r="A83" s="13">
        <v>82.0</v>
      </c>
      <c r="B83" s="13" t="s">
        <v>90</v>
      </c>
      <c r="C83" s="13" t="s">
        <v>262</v>
      </c>
      <c r="D83" s="14">
        <v>0.3447453703703704</v>
      </c>
      <c r="E83" s="14">
        <v>0.21947916666666667</v>
      </c>
      <c r="F83" s="14">
        <v>0.047592592592592596</v>
      </c>
      <c r="G83" s="15">
        <v>40.0</v>
      </c>
      <c r="H83" s="16">
        <v>0.55</v>
      </c>
    </row>
    <row r="84" ht="15.75" customHeight="1">
      <c r="A84" s="13">
        <v>83.0</v>
      </c>
      <c r="B84" s="13" t="s">
        <v>91</v>
      </c>
      <c r="C84" s="13" t="s">
        <v>263</v>
      </c>
      <c r="D84" s="14">
        <v>0.3167476851851852</v>
      </c>
      <c r="E84" s="14">
        <v>0.21346064814814814</v>
      </c>
      <c r="F84" s="14">
        <v>0.021064814814814814</v>
      </c>
      <c r="G84" s="15">
        <v>41.0</v>
      </c>
      <c r="H84" s="16">
        <v>0.61</v>
      </c>
    </row>
    <row r="85" ht="15.75" customHeight="1">
      <c r="A85" s="13">
        <v>84.0</v>
      </c>
      <c r="B85" s="13" t="s">
        <v>92</v>
      </c>
      <c r="C85" s="13" t="s">
        <v>264</v>
      </c>
      <c r="D85" s="14">
        <v>0.34024305555555556</v>
      </c>
      <c r="E85" s="14">
        <v>0.21100694444444446</v>
      </c>
      <c r="F85" s="14">
        <v>0.04773148148148148</v>
      </c>
      <c r="G85" s="15">
        <v>42.0</v>
      </c>
      <c r="H85" s="16">
        <v>0.55</v>
      </c>
    </row>
    <row r="86" ht="15.75" customHeight="1">
      <c r="A86" s="13">
        <v>85.0</v>
      </c>
      <c r="B86" s="13" t="s">
        <v>93</v>
      </c>
      <c r="C86" s="13" t="s">
        <v>265</v>
      </c>
      <c r="D86" s="14">
        <v>0.33611111111111114</v>
      </c>
      <c r="E86" s="14">
        <v>0.2121412037037037</v>
      </c>
      <c r="F86" s="14">
        <v>0.0475</v>
      </c>
      <c r="G86" s="15">
        <v>43.0</v>
      </c>
      <c r="H86" s="16">
        <v>0.61</v>
      </c>
    </row>
    <row r="87" ht="15.75" customHeight="1">
      <c r="A87" s="13">
        <v>86.0</v>
      </c>
      <c r="B87" s="13" t="s">
        <v>94</v>
      </c>
      <c r="C87" s="13" t="s">
        <v>266</v>
      </c>
      <c r="D87" s="14">
        <v>0.3331365740740741</v>
      </c>
      <c r="E87" s="14">
        <v>0.18670138888888888</v>
      </c>
      <c r="F87" s="14">
        <v>0.06743055555555555</v>
      </c>
      <c r="G87" s="15">
        <v>44.0</v>
      </c>
      <c r="H87" s="16">
        <v>0.51</v>
      </c>
    </row>
    <row r="88" ht="15.75" customHeight="1">
      <c r="A88" s="13">
        <v>87.0</v>
      </c>
      <c r="B88" s="13" t="s">
        <v>95</v>
      </c>
      <c r="C88" s="13" t="s">
        <v>267</v>
      </c>
      <c r="D88" s="14">
        <v>0.3513541666666667</v>
      </c>
      <c r="E88" s="14">
        <v>0.20708333333333334</v>
      </c>
      <c r="F88" s="14">
        <v>0.054953703703703706</v>
      </c>
      <c r="G88" s="15">
        <v>45.0</v>
      </c>
      <c r="H88" s="16">
        <v>0.56</v>
      </c>
    </row>
    <row r="89" ht="15.75" customHeight="1">
      <c r="A89" s="13">
        <v>88.0</v>
      </c>
      <c r="B89" s="13" t="s">
        <v>96</v>
      </c>
      <c r="C89" s="13" t="s">
        <v>268</v>
      </c>
      <c r="D89" s="14">
        <v>0.3435648148148148</v>
      </c>
      <c r="E89" s="14">
        <v>0.16344907407407408</v>
      </c>
      <c r="F89" s="14">
        <v>0.10712962962962963</v>
      </c>
      <c r="G89" s="15">
        <v>46.0</v>
      </c>
      <c r="H89" s="16">
        <v>0.43</v>
      </c>
    </row>
    <row r="90" ht="15.75" customHeight="1">
      <c r="A90" s="13">
        <v>89.0</v>
      </c>
      <c r="B90" s="13" t="s">
        <v>97</v>
      </c>
      <c r="C90" s="13" t="s">
        <v>269</v>
      </c>
      <c r="D90" s="14">
        <v>0.34900462962962964</v>
      </c>
      <c r="E90" s="14">
        <v>0.033715277777777775</v>
      </c>
      <c r="F90" s="14">
        <v>0.2974421296296296</v>
      </c>
      <c r="G90" s="15">
        <v>47.0</v>
      </c>
      <c r="H90" s="16">
        <v>0.09</v>
      </c>
    </row>
    <row r="91" ht="15.75" customHeight="1">
      <c r="A91" s="13">
        <v>90.0</v>
      </c>
      <c r="B91" s="13" t="s">
        <v>98</v>
      </c>
      <c r="C91" s="13" t="s">
        <v>270</v>
      </c>
      <c r="D91" s="14">
        <v>0.3337847222222222</v>
      </c>
      <c r="E91" s="14">
        <v>0.21655092592592592</v>
      </c>
      <c r="F91" s="14">
        <v>0.0500462962962963</v>
      </c>
      <c r="G91" s="15">
        <v>48.0</v>
      </c>
      <c r="H91" s="16">
        <v>0.61</v>
      </c>
    </row>
    <row r="92" ht="15.75" customHeight="1">
      <c r="A92" s="13">
        <v>91.0</v>
      </c>
      <c r="B92" s="13" t="s">
        <v>99</v>
      </c>
      <c r="C92" s="13" t="s">
        <v>270</v>
      </c>
      <c r="D92" s="14">
        <v>0.3455902777777778</v>
      </c>
      <c r="E92" s="14">
        <v>0.2011574074074074</v>
      </c>
      <c r="F92" s="14">
        <v>0.08790509259259259</v>
      </c>
      <c r="G92" s="15">
        <v>49.0</v>
      </c>
      <c r="H92" s="16">
        <v>0.51</v>
      </c>
    </row>
    <row r="93" ht="15.75" customHeight="1">
      <c r="A93" s="13">
        <v>92.0</v>
      </c>
      <c r="B93" s="13" t="s">
        <v>100</v>
      </c>
      <c r="C93" s="13" t="s">
        <v>271</v>
      </c>
      <c r="D93" s="14">
        <v>0.2114699074074074</v>
      </c>
      <c r="E93" s="14">
        <v>0.14190972222222223</v>
      </c>
      <c r="F93" s="14">
        <v>0.016979166666666667</v>
      </c>
      <c r="G93" s="15">
        <v>50.0</v>
      </c>
      <c r="H93" s="16">
        <v>0.62</v>
      </c>
    </row>
    <row r="94" ht="15.75" customHeight="1">
      <c r="A94" s="13">
        <v>93.0</v>
      </c>
      <c r="B94" s="13" t="s">
        <v>101</v>
      </c>
      <c r="C94" s="13" t="s">
        <v>272</v>
      </c>
      <c r="D94" s="14">
        <v>0.3407523148148148</v>
      </c>
      <c r="E94" s="14">
        <v>0.19762731481481483</v>
      </c>
      <c r="F94" s="14">
        <v>0.048240740740740744</v>
      </c>
      <c r="G94" s="15">
        <v>51.0</v>
      </c>
      <c r="H94" s="16">
        <v>0.54</v>
      </c>
    </row>
    <row r="95" ht="15.75" customHeight="1">
      <c r="A95" s="13">
        <v>94.0</v>
      </c>
      <c r="B95" s="13" t="s">
        <v>102</v>
      </c>
      <c r="C95" s="13" t="s">
        <v>273</v>
      </c>
      <c r="D95" s="14">
        <v>0.34390046296296295</v>
      </c>
      <c r="E95" s="14">
        <v>0.0</v>
      </c>
      <c r="F95" s="14">
        <v>0.3438541666666667</v>
      </c>
      <c r="G95" s="15">
        <v>52.0</v>
      </c>
      <c r="H95" s="13"/>
    </row>
    <row r="96" ht="15.75" customHeight="1">
      <c r="A96" s="13">
        <v>95.0</v>
      </c>
      <c r="B96" s="13" t="s">
        <v>103</v>
      </c>
      <c r="C96" s="13" t="s">
        <v>274</v>
      </c>
      <c r="D96" s="14">
        <v>0.33532407407407405</v>
      </c>
      <c r="E96" s="14">
        <v>0.050763888888888886</v>
      </c>
      <c r="F96" s="14">
        <v>0.2775925925925926</v>
      </c>
      <c r="G96" s="15">
        <v>53.0</v>
      </c>
      <c r="H96" s="16">
        <v>0.14</v>
      </c>
    </row>
    <row r="97" ht="15.75" customHeight="1">
      <c r="A97" s="13">
        <v>96.0</v>
      </c>
      <c r="B97" s="13" t="s">
        <v>104</v>
      </c>
      <c r="C97" s="13" t="s">
        <v>275</v>
      </c>
      <c r="D97" s="14">
        <v>0.3468287037037037</v>
      </c>
      <c r="E97" s="14">
        <v>0.20351851851851852</v>
      </c>
      <c r="F97" s="14">
        <v>0.05122685185185185</v>
      </c>
      <c r="G97" s="15">
        <v>54.0</v>
      </c>
      <c r="H97" s="16">
        <v>0.55</v>
      </c>
    </row>
    <row r="98" ht="15.75" customHeight="1">
      <c r="A98" s="13">
        <v>97.0</v>
      </c>
      <c r="B98" s="13" t="s">
        <v>105</v>
      </c>
      <c r="C98" s="13" t="s">
        <v>276</v>
      </c>
      <c r="D98" s="14">
        <v>0.334837962962963</v>
      </c>
      <c r="E98" s="14">
        <v>0.06675925925925925</v>
      </c>
      <c r="F98" s="14">
        <v>0.2397337962962963</v>
      </c>
      <c r="G98" s="15">
        <v>55.0</v>
      </c>
      <c r="H98" s="16">
        <v>0.19</v>
      </c>
    </row>
    <row r="99" ht="15.75" customHeight="1">
      <c r="A99" s="13">
        <v>98.0</v>
      </c>
      <c r="B99" s="13" t="s">
        <v>106</v>
      </c>
      <c r="C99" s="13" t="s">
        <v>277</v>
      </c>
      <c r="D99" s="14">
        <v>0.34770833333333334</v>
      </c>
      <c r="E99" s="14">
        <v>0.1784375</v>
      </c>
      <c r="F99" s="14">
        <v>0.0867824074074074</v>
      </c>
      <c r="G99" s="15">
        <v>56.0</v>
      </c>
      <c r="H99" s="16">
        <v>0.47</v>
      </c>
    </row>
    <row r="100" ht="15.75" customHeight="1">
      <c r="A100" s="13">
        <v>99.0</v>
      </c>
      <c r="B100" s="13" t="s">
        <v>107</v>
      </c>
      <c r="C100" s="13" t="s">
        <v>278</v>
      </c>
      <c r="D100" s="14">
        <v>0.3338425925925926</v>
      </c>
      <c r="E100" s="14">
        <v>0.19934027777777777</v>
      </c>
      <c r="F100" s="14">
        <v>0.04946759259259259</v>
      </c>
      <c r="G100" s="15">
        <v>57.0</v>
      </c>
      <c r="H100" s="16">
        <v>0.54</v>
      </c>
    </row>
    <row r="101" ht="15.75" customHeight="1">
      <c r="A101" s="13">
        <v>100.0</v>
      </c>
      <c r="B101" s="13" t="s">
        <v>108</v>
      </c>
      <c r="C101" s="13" t="s">
        <v>279</v>
      </c>
      <c r="D101" s="14">
        <v>0.3346412037037037</v>
      </c>
      <c r="E101" s="14">
        <v>0.19371527777777778</v>
      </c>
      <c r="F101" s="14">
        <v>0.048240740740740744</v>
      </c>
      <c r="G101" s="15">
        <v>58.0</v>
      </c>
      <c r="H101" s="16">
        <v>0.53</v>
      </c>
    </row>
    <row r="102" ht="15.75" customHeight="1">
      <c r="A102" s="13">
        <v>101.0</v>
      </c>
      <c r="B102" s="13" t="s">
        <v>109</v>
      </c>
      <c r="C102" s="13" t="s">
        <v>280</v>
      </c>
      <c r="D102" s="14">
        <v>0.24574074074074073</v>
      </c>
      <c r="E102" s="14">
        <v>0.12021990740740741</v>
      </c>
      <c r="F102" s="14">
        <v>0.11229166666666666</v>
      </c>
      <c r="G102" s="15">
        <v>59.0</v>
      </c>
      <c r="H102" s="16">
        <v>0.41</v>
      </c>
    </row>
    <row r="103" ht="15.75" customHeight="1">
      <c r="A103" s="13">
        <v>102.0</v>
      </c>
      <c r="B103" s="13" t="s">
        <v>110</v>
      </c>
      <c r="C103" s="13" t="s">
        <v>281</v>
      </c>
      <c r="D103" s="14">
        <v>0.3444675925925926</v>
      </c>
      <c r="E103" s="14">
        <v>0.1825462962962963</v>
      </c>
      <c r="F103" s="14">
        <v>0.07681712962962962</v>
      </c>
      <c r="G103" s="15">
        <v>60.0</v>
      </c>
      <c r="H103" s="16">
        <v>0.5</v>
      </c>
    </row>
    <row r="104" ht="15.75" customHeight="1">
      <c r="A104" s="13">
        <v>103.0</v>
      </c>
      <c r="B104" s="13" t="s">
        <v>111</v>
      </c>
      <c r="C104" s="13" t="s">
        <v>282</v>
      </c>
      <c r="D104" s="14">
        <v>0.34423611111111113</v>
      </c>
      <c r="E104" s="14">
        <v>0.18436342592592592</v>
      </c>
      <c r="F104" s="14">
        <v>0.0673263888888889</v>
      </c>
      <c r="G104" s="15">
        <v>61.0</v>
      </c>
      <c r="H104" s="16">
        <v>0.52</v>
      </c>
    </row>
    <row r="105" ht="15.75" customHeight="1">
      <c r="A105" s="13">
        <v>104.0</v>
      </c>
      <c r="B105" s="13" t="s">
        <v>112</v>
      </c>
      <c r="C105" s="13" t="s">
        <v>283</v>
      </c>
      <c r="D105" s="14">
        <v>0.34479166666666666</v>
      </c>
      <c r="E105" s="14">
        <v>0.10450231481481481</v>
      </c>
      <c r="F105" s="14">
        <v>0.21383101851851852</v>
      </c>
      <c r="G105" s="15">
        <v>62.0</v>
      </c>
      <c r="H105" s="16">
        <v>0.25</v>
      </c>
    </row>
    <row r="106" ht="15.75" customHeight="1">
      <c r="A106" s="13">
        <v>105.0</v>
      </c>
      <c r="B106" s="13" t="s">
        <v>113</v>
      </c>
      <c r="C106" s="13" t="s">
        <v>284</v>
      </c>
      <c r="D106" s="14">
        <v>0.33458333333333334</v>
      </c>
      <c r="E106" s="14">
        <v>0.20292824074074073</v>
      </c>
      <c r="F106" s="14">
        <v>0.05092592592592592</v>
      </c>
      <c r="G106" s="15">
        <v>63.0</v>
      </c>
      <c r="H106" s="16">
        <v>0.56</v>
      </c>
    </row>
    <row r="107" ht="15.75" customHeight="1">
      <c r="A107" s="13">
        <v>106.0</v>
      </c>
      <c r="B107" s="13" t="s">
        <v>114</v>
      </c>
      <c r="C107" s="13" t="s">
        <v>285</v>
      </c>
      <c r="D107" s="14">
        <v>0.34524305555555557</v>
      </c>
      <c r="E107" s="13"/>
      <c r="F107" s="14">
        <v>0.3451388888888889</v>
      </c>
      <c r="G107" s="15">
        <v>64.0</v>
      </c>
      <c r="H107" s="13"/>
    </row>
    <row r="108" ht="15.75" customHeight="1">
      <c r="A108" s="13">
        <v>107.0</v>
      </c>
      <c r="B108" s="13" t="s">
        <v>115</v>
      </c>
      <c r="C108" s="13" t="s">
        <v>286</v>
      </c>
      <c r="D108" s="14">
        <v>0.34424768518518517</v>
      </c>
      <c r="E108" s="14">
        <v>0.17256944444444444</v>
      </c>
      <c r="F108" s="14">
        <v>0.09046296296296297</v>
      </c>
      <c r="G108" s="15">
        <v>65.0</v>
      </c>
      <c r="H108" s="16">
        <v>0.48</v>
      </c>
    </row>
    <row r="109" ht="15.75" customHeight="1">
      <c r="A109" s="13">
        <v>108.0</v>
      </c>
      <c r="B109" s="13" t="s">
        <v>116</v>
      </c>
      <c r="C109" s="13" t="s">
        <v>287</v>
      </c>
      <c r="D109" s="14">
        <v>0.35488425925925926</v>
      </c>
      <c r="E109" s="14">
        <v>0.2330787037037037</v>
      </c>
      <c r="F109" s="14">
        <v>0.037349537037037035</v>
      </c>
      <c r="G109" s="15">
        <v>66.0</v>
      </c>
      <c r="H109" s="16">
        <v>0.62</v>
      </c>
    </row>
    <row r="110" ht="15.75" customHeight="1">
      <c r="A110" s="13">
        <v>109.0</v>
      </c>
      <c r="B110" s="13" t="s">
        <v>117</v>
      </c>
      <c r="C110" s="13" t="s">
        <v>288</v>
      </c>
      <c r="D110" s="14">
        <v>0.33346064814814813</v>
      </c>
      <c r="E110" s="14">
        <v>0.2029050925925926</v>
      </c>
      <c r="F110" s="14">
        <v>0.04819444444444444</v>
      </c>
      <c r="G110" s="15">
        <v>67.0</v>
      </c>
      <c r="H110" s="16">
        <v>0.55</v>
      </c>
    </row>
    <row r="111" ht="15.75" customHeight="1">
      <c r="A111" s="13">
        <v>110.0</v>
      </c>
      <c r="B111" s="13" t="s">
        <v>118</v>
      </c>
      <c r="C111" s="13" t="s">
        <v>289</v>
      </c>
      <c r="D111" s="14">
        <v>0.34430555555555553</v>
      </c>
      <c r="E111" s="14">
        <v>0.20876157407407409</v>
      </c>
      <c r="F111" s="14">
        <v>0.047685185185185185</v>
      </c>
      <c r="G111" s="15">
        <v>68.0</v>
      </c>
      <c r="H111" s="16">
        <v>0.56</v>
      </c>
    </row>
    <row r="112" ht="15.75" customHeight="1">
      <c r="A112" s="13">
        <v>111.0</v>
      </c>
      <c r="B112" s="13" t="s">
        <v>119</v>
      </c>
      <c r="C112" s="13" t="s">
        <v>290</v>
      </c>
      <c r="D112" s="14">
        <v>0.3443981481481482</v>
      </c>
      <c r="E112" s="14">
        <v>0.19284722222222223</v>
      </c>
      <c r="F112" s="14">
        <v>0.08297453703703704</v>
      </c>
      <c r="G112" s="15">
        <v>69.0</v>
      </c>
      <c r="H112" s="16">
        <v>0.49</v>
      </c>
    </row>
    <row r="113" ht="15.75" customHeight="1">
      <c r="A113" s="13">
        <v>112.0</v>
      </c>
      <c r="B113" s="13" t="s">
        <v>120</v>
      </c>
      <c r="C113" s="13" t="s">
        <v>291</v>
      </c>
      <c r="D113" s="14">
        <v>0.34435185185185185</v>
      </c>
      <c r="E113" s="14">
        <v>0.20849537037037036</v>
      </c>
      <c r="F113" s="14">
        <v>0.048414351851851854</v>
      </c>
      <c r="G113" s="15">
        <v>70.0</v>
      </c>
      <c r="H113" s="16">
        <v>0.55</v>
      </c>
    </row>
    <row r="114" ht="15.75" customHeight="1">
      <c r="A114" s="13">
        <v>113.0</v>
      </c>
      <c r="B114" s="13" t="s">
        <v>121</v>
      </c>
      <c r="C114" s="13" t="s">
        <v>292</v>
      </c>
      <c r="D114" s="14">
        <v>0.33491898148148147</v>
      </c>
      <c r="E114" s="14">
        <v>0.21258101851851852</v>
      </c>
      <c r="F114" s="14">
        <v>0.04878472222222222</v>
      </c>
      <c r="G114" s="15">
        <v>71.0</v>
      </c>
      <c r="H114" s="16">
        <v>0.59</v>
      </c>
    </row>
    <row r="115" ht="15.75" customHeight="1">
      <c r="A115" s="13">
        <v>114.0</v>
      </c>
      <c r="B115" s="13" t="s">
        <v>122</v>
      </c>
      <c r="C115" s="13" t="s">
        <v>293</v>
      </c>
      <c r="D115" s="14">
        <v>0.3444212962962963</v>
      </c>
      <c r="E115" s="14">
        <v>0.22203703703703703</v>
      </c>
      <c r="F115" s="14">
        <v>0.05134259259259259</v>
      </c>
      <c r="G115" s="15">
        <v>72.0</v>
      </c>
      <c r="H115" s="16">
        <v>0.58</v>
      </c>
    </row>
    <row r="116" ht="15.75" customHeight="1">
      <c r="A116" s="13">
        <v>115.0</v>
      </c>
      <c r="B116" s="13" t="s">
        <v>123</v>
      </c>
      <c r="C116" s="13" t="s">
        <v>294</v>
      </c>
      <c r="D116" s="14">
        <v>0.3337037037037037</v>
      </c>
      <c r="E116" s="14">
        <v>0.21053240740740742</v>
      </c>
      <c r="F116" s="14">
        <v>0.04847222222222222</v>
      </c>
      <c r="G116" s="15">
        <v>73.0</v>
      </c>
      <c r="H116" s="16">
        <v>0.59</v>
      </c>
    </row>
    <row r="117" ht="15.75" customHeight="1">
      <c r="A117" s="13">
        <v>116.0</v>
      </c>
      <c r="B117" s="13" t="s">
        <v>124</v>
      </c>
      <c r="C117" s="13" t="s">
        <v>294</v>
      </c>
      <c r="D117" s="14">
        <v>0.3451851851851852</v>
      </c>
      <c r="E117" s="14">
        <v>0.21524305555555556</v>
      </c>
      <c r="F117" s="14">
        <v>0.04928240740740741</v>
      </c>
      <c r="G117" s="15">
        <v>74.0</v>
      </c>
      <c r="H117" s="16">
        <v>0.59</v>
      </c>
    </row>
    <row r="118" ht="15.75" customHeight="1">
      <c r="A118" s="13">
        <v>117.0</v>
      </c>
      <c r="B118" s="13" t="s">
        <v>125</v>
      </c>
      <c r="C118" s="13" t="s">
        <v>294</v>
      </c>
      <c r="D118" s="14">
        <v>0.3354050925925926</v>
      </c>
      <c r="E118" s="14">
        <v>0.19744212962962962</v>
      </c>
      <c r="F118" s="14">
        <v>0.050011574074074076</v>
      </c>
      <c r="G118" s="15">
        <v>75.0</v>
      </c>
      <c r="H118" s="16">
        <v>0.55</v>
      </c>
    </row>
    <row r="119" ht="15.75" customHeight="1">
      <c r="A119" s="13">
        <v>118.0</v>
      </c>
      <c r="B119" s="13" t="s">
        <v>126</v>
      </c>
      <c r="C119" s="13" t="s">
        <v>295</v>
      </c>
      <c r="D119" s="14">
        <v>0.3362731481481481</v>
      </c>
      <c r="E119" s="14">
        <v>0.18991898148148148</v>
      </c>
      <c r="F119" s="14">
        <v>0.06431712962962963</v>
      </c>
      <c r="G119" s="15">
        <v>76.0</v>
      </c>
      <c r="H119" s="16">
        <v>0.53</v>
      </c>
    </row>
    <row r="120" ht="15.75" customHeight="1">
      <c r="A120" s="13">
        <v>119.0</v>
      </c>
      <c r="B120" s="13" t="s">
        <v>127</v>
      </c>
      <c r="C120" s="13" t="s">
        <v>296</v>
      </c>
      <c r="D120" s="14">
        <v>0.33471064814814816</v>
      </c>
      <c r="E120" s="14">
        <v>0.18868055555555555</v>
      </c>
      <c r="F120" s="14">
        <v>0.07334490740740741</v>
      </c>
      <c r="G120" s="15">
        <v>77.0</v>
      </c>
      <c r="H120" s="16">
        <v>0.47</v>
      </c>
    </row>
    <row r="121" ht="15.75" customHeight="1">
      <c r="A121" s="13">
        <v>120.0</v>
      </c>
      <c r="B121" s="13" t="s">
        <v>128</v>
      </c>
      <c r="C121" s="13" t="s">
        <v>297</v>
      </c>
      <c r="D121" s="14">
        <v>0.3397453703703704</v>
      </c>
      <c r="E121" s="14">
        <v>0.20261574074074074</v>
      </c>
      <c r="F121" s="14">
        <v>0.04775462962962963</v>
      </c>
      <c r="G121" s="15">
        <v>78.0</v>
      </c>
      <c r="H121" s="16">
        <v>0.55</v>
      </c>
    </row>
    <row r="122" ht="15.75" customHeight="1">
      <c r="A122" s="13">
        <v>121.0</v>
      </c>
      <c r="B122" s="13" t="s">
        <v>129</v>
      </c>
      <c r="C122" s="13" t="s">
        <v>298</v>
      </c>
      <c r="D122" s="14">
        <v>0.3455787037037037</v>
      </c>
      <c r="E122" s="14">
        <v>0.14315972222222223</v>
      </c>
      <c r="F122" s="14">
        <v>0.15493055555555554</v>
      </c>
      <c r="G122" s="15">
        <v>79.0</v>
      </c>
      <c r="H122" s="16">
        <v>0.39</v>
      </c>
    </row>
    <row r="123" ht="15.75" customHeight="1">
      <c r="A123" s="13">
        <v>122.0</v>
      </c>
      <c r="B123" s="13" t="s">
        <v>130</v>
      </c>
      <c r="C123" s="13" t="s">
        <v>299</v>
      </c>
      <c r="D123" s="14">
        <v>0.33189814814814816</v>
      </c>
      <c r="E123" s="14">
        <v>0.1439236111111111</v>
      </c>
      <c r="F123" s="14">
        <v>0.13547453703703705</v>
      </c>
      <c r="G123" s="15">
        <v>80.0</v>
      </c>
      <c r="H123" s="16">
        <v>0.4</v>
      </c>
    </row>
    <row r="124" ht="15.75" customHeight="1">
      <c r="A124" s="13">
        <v>123.0</v>
      </c>
      <c r="B124" s="13" t="s">
        <v>131</v>
      </c>
      <c r="C124" s="13" t="s">
        <v>300</v>
      </c>
      <c r="D124" s="14">
        <v>0.34369212962962964</v>
      </c>
      <c r="E124" s="14">
        <v>0.22164351851851852</v>
      </c>
      <c r="F124" s="14">
        <v>0.04859953703703704</v>
      </c>
      <c r="G124" s="15">
        <v>81.0</v>
      </c>
      <c r="H124" s="16">
        <v>0.54</v>
      </c>
    </row>
    <row r="125" ht="15.75" customHeight="1">
      <c r="A125" s="13">
        <v>124.0</v>
      </c>
      <c r="B125" s="13" t="s">
        <v>132</v>
      </c>
      <c r="C125" s="13" t="s">
        <v>301</v>
      </c>
      <c r="D125" s="14">
        <v>0.3548263888888889</v>
      </c>
      <c r="E125" s="14">
        <v>0.15355324074074075</v>
      </c>
      <c r="F125" s="14">
        <v>0.03864583333333333</v>
      </c>
      <c r="G125" s="15">
        <v>82.0</v>
      </c>
      <c r="H125" s="16">
        <v>0.28</v>
      </c>
    </row>
    <row r="126" ht="15.75" customHeight="1">
      <c r="A126" s="13">
        <v>125.0</v>
      </c>
      <c r="B126" s="13" t="s">
        <v>133</v>
      </c>
      <c r="C126" s="13" t="s">
        <v>302</v>
      </c>
      <c r="D126" s="14">
        <v>0.3677546296296296</v>
      </c>
      <c r="E126" s="14">
        <v>0.21557870370370372</v>
      </c>
      <c r="F126" s="14">
        <v>0.07048611111111111</v>
      </c>
      <c r="G126" s="15">
        <v>83.0</v>
      </c>
      <c r="H126" s="16">
        <v>0.56</v>
      </c>
    </row>
    <row r="127" ht="15.75" customHeight="1">
      <c r="A127" s="13">
        <v>126.0</v>
      </c>
      <c r="B127" s="13" t="s">
        <v>134</v>
      </c>
      <c r="C127" s="13" t="s">
        <v>303</v>
      </c>
      <c r="D127" s="14">
        <v>0.35119212962962965</v>
      </c>
      <c r="E127" s="14">
        <v>0.15380787037037036</v>
      </c>
      <c r="F127" s="14">
        <v>0.14153935185185185</v>
      </c>
      <c r="G127" s="15">
        <v>84.0</v>
      </c>
      <c r="H127" s="16">
        <v>0.4</v>
      </c>
    </row>
    <row r="128" ht="15.75" customHeight="1">
      <c r="A128" s="13">
        <v>127.0</v>
      </c>
      <c r="B128" s="13" t="s">
        <v>135</v>
      </c>
      <c r="C128" s="13" t="s">
        <v>304</v>
      </c>
      <c r="D128" s="14">
        <v>0.3414351851851852</v>
      </c>
      <c r="E128" s="14">
        <v>0.1754513888888889</v>
      </c>
      <c r="F128" s="14">
        <v>0.09569444444444444</v>
      </c>
      <c r="G128" s="15">
        <v>85.0</v>
      </c>
      <c r="H128" s="16">
        <v>0.44</v>
      </c>
    </row>
    <row r="129" ht="15.75" customHeight="1">
      <c r="A129" s="13">
        <v>128.0</v>
      </c>
      <c r="B129" s="13" t="s">
        <v>136</v>
      </c>
      <c r="C129" s="13" t="s">
        <v>305</v>
      </c>
      <c r="D129" s="14">
        <v>0.34533564814814816</v>
      </c>
      <c r="E129" s="14">
        <v>0.20476851851851852</v>
      </c>
      <c r="F129" s="14">
        <v>0.05523148148148148</v>
      </c>
      <c r="G129" s="15">
        <v>86.0</v>
      </c>
      <c r="H129" s="16">
        <v>0.56</v>
      </c>
    </row>
    <row r="130" ht="15.75" customHeight="1">
      <c r="A130" s="13">
        <v>129.0</v>
      </c>
      <c r="B130" s="13" t="s">
        <v>137</v>
      </c>
      <c r="C130" s="13" t="s">
        <v>306</v>
      </c>
      <c r="D130" s="14">
        <v>0.3441666666666667</v>
      </c>
      <c r="E130" s="14">
        <v>0.12054398148148149</v>
      </c>
      <c r="F130" s="14">
        <v>0.19140046296296295</v>
      </c>
      <c r="G130" s="15">
        <v>87.0</v>
      </c>
      <c r="H130" s="16">
        <v>0.33</v>
      </c>
    </row>
    <row r="131" ht="15.75" customHeight="1">
      <c r="A131" s="13">
        <v>130.0</v>
      </c>
      <c r="B131" s="13" t="s">
        <v>138</v>
      </c>
      <c r="C131" s="13" t="s">
        <v>307</v>
      </c>
      <c r="D131" s="14">
        <v>0.33975694444444443</v>
      </c>
      <c r="E131" s="14">
        <v>0.21278935185185185</v>
      </c>
      <c r="F131" s="14">
        <v>0.04850694444444444</v>
      </c>
      <c r="G131" s="15">
        <v>88.0</v>
      </c>
      <c r="H131" s="16">
        <v>0.57</v>
      </c>
    </row>
    <row r="132" ht="15.75" customHeight="1">
      <c r="A132" s="13">
        <v>131.0</v>
      </c>
      <c r="B132" s="13" t="s">
        <v>139</v>
      </c>
      <c r="C132" s="13" t="s">
        <v>308</v>
      </c>
      <c r="D132" s="14">
        <v>0.33380787037037035</v>
      </c>
      <c r="E132" s="14">
        <v>0.1744212962962963</v>
      </c>
      <c r="F132" s="14">
        <v>0.08142361111111111</v>
      </c>
      <c r="G132" s="15">
        <v>89.0</v>
      </c>
      <c r="H132" s="16">
        <v>0.45</v>
      </c>
    </row>
    <row r="133" ht="15.75" customHeight="1">
      <c r="A133" s="13">
        <v>132.0</v>
      </c>
      <c r="B133" s="13" t="s">
        <v>140</v>
      </c>
      <c r="C133" s="13" t="s">
        <v>309</v>
      </c>
      <c r="D133" s="14">
        <v>0.34012731481481484</v>
      </c>
      <c r="E133" s="14">
        <v>0.11028935185185185</v>
      </c>
      <c r="F133" s="14">
        <v>0.19189814814814815</v>
      </c>
      <c r="G133" s="15">
        <v>90.0</v>
      </c>
      <c r="H133" s="16">
        <v>0.3</v>
      </c>
    </row>
    <row r="134" ht="15.75" customHeight="1">
      <c r="A134" s="13">
        <v>133.0</v>
      </c>
      <c r="B134" s="13" t="s">
        <v>141</v>
      </c>
      <c r="C134" s="13" t="s">
        <v>310</v>
      </c>
      <c r="D134" s="14">
        <v>0.3335416666666667</v>
      </c>
      <c r="E134" s="14">
        <v>0.1913888888888889</v>
      </c>
      <c r="F134" s="14">
        <v>0.051666666666666666</v>
      </c>
      <c r="G134" s="15">
        <v>91.0</v>
      </c>
      <c r="H134" s="16">
        <v>0.56</v>
      </c>
    </row>
    <row r="135" ht="15.75" customHeight="1">
      <c r="A135" s="13">
        <v>134.0</v>
      </c>
      <c r="B135" s="13" t="s">
        <v>142</v>
      </c>
      <c r="C135" s="13" t="s">
        <v>311</v>
      </c>
      <c r="D135" s="14">
        <v>0.3357175925925926</v>
      </c>
      <c r="E135" s="14">
        <v>0.12403935185185185</v>
      </c>
      <c r="F135" s="14">
        <v>0.1645486111111111</v>
      </c>
      <c r="G135" s="15">
        <v>92.0</v>
      </c>
      <c r="H135" s="16">
        <v>0.33</v>
      </c>
    </row>
    <row r="136" ht="15.75" customHeight="1">
      <c r="A136" s="13">
        <v>135.0</v>
      </c>
      <c r="B136" s="13" t="s">
        <v>143</v>
      </c>
      <c r="C136" s="13" t="s">
        <v>311</v>
      </c>
      <c r="D136" s="14">
        <v>0.336875</v>
      </c>
      <c r="E136" s="14">
        <v>0.17017361111111112</v>
      </c>
      <c r="F136" s="14">
        <v>0.09503472222222223</v>
      </c>
      <c r="G136" s="15">
        <v>93.0</v>
      </c>
      <c r="H136" s="16">
        <v>0.47</v>
      </c>
    </row>
    <row r="137" ht="15.75" customHeight="1">
      <c r="A137" s="13">
        <v>136.0</v>
      </c>
      <c r="B137" s="13" t="s">
        <v>144</v>
      </c>
      <c r="C137" s="13" t="s">
        <v>312</v>
      </c>
      <c r="D137" s="14">
        <v>0.3370949074074074</v>
      </c>
      <c r="E137" s="14">
        <v>0.18885416666666666</v>
      </c>
      <c r="F137" s="14">
        <v>0.08799768518518518</v>
      </c>
      <c r="G137" s="15">
        <v>94.0</v>
      </c>
      <c r="H137" s="16">
        <v>0.51</v>
      </c>
    </row>
    <row r="138" ht="15.75" customHeight="1">
      <c r="A138" s="13">
        <v>137.0</v>
      </c>
      <c r="B138" s="13" t="s">
        <v>145</v>
      </c>
      <c r="C138" s="13" t="s">
        <v>313</v>
      </c>
      <c r="D138" s="14">
        <v>0.3430787037037037</v>
      </c>
      <c r="E138" s="14">
        <v>0.22166666666666668</v>
      </c>
      <c r="F138" s="14">
        <v>0.04739583333333333</v>
      </c>
      <c r="G138" s="15">
        <v>95.0</v>
      </c>
      <c r="H138" s="16">
        <v>0.59</v>
      </c>
    </row>
    <row r="139" ht="15.75" customHeight="1">
      <c r="A139" s="13">
        <v>138.0</v>
      </c>
      <c r="B139" s="13" t="s">
        <v>146</v>
      </c>
      <c r="C139" s="13" t="s">
        <v>314</v>
      </c>
      <c r="D139" s="14">
        <v>0.3119212962962963</v>
      </c>
      <c r="E139" s="14">
        <v>0.12112268518518518</v>
      </c>
      <c r="F139" s="14">
        <v>0.1575462962962963</v>
      </c>
      <c r="G139" s="15">
        <v>96.0</v>
      </c>
      <c r="H139" s="16">
        <v>0.34</v>
      </c>
    </row>
    <row r="140" ht="15.75" customHeight="1">
      <c r="A140" s="13">
        <v>139.0</v>
      </c>
      <c r="B140" s="13" t="s">
        <v>147</v>
      </c>
      <c r="C140" s="13" t="s">
        <v>315</v>
      </c>
      <c r="D140" s="14">
        <v>0.3568634259259259</v>
      </c>
      <c r="E140" s="14">
        <v>0.19224537037037037</v>
      </c>
      <c r="F140" s="14">
        <v>0.09519675925925926</v>
      </c>
      <c r="G140" s="15">
        <v>97.0</v>
      </c>
      <c r="H140" s="16">
        <v>0.5</v>
      </c>
    </row>
    <row r="141" ht="15.75" customHeight="1">
      <c r="A141" s="13">
        <v>140.0</v>
      </c>
      <c r="B141" s="13" t="s">
        <v>148</v>
      </c>
      <c r="C141" s="13" t="s">
        <v>316</v>
      </c>
      <c r="D141" s="14">
        <v>0.34392361111111114</v>
      </c>
      <c r="E141" s="14">
        <v>0.20146990740740742</v>
      </c>
      <c r="F141" s="14">
        <v>0.048854166666666664</v>
      </c>
      <c r="G141" s="15">
        <v>98.0</v>
      </c>
      <c r="H141" s="16">
        <v>0.52</v>
      </c>
    </row>
    <row r="142" ht="15.75" customHeight="1">
      <c r="A142" s="13">
        <v>141.0</v>
      </c>
      <c r="B142" s="13" t="s">
        <v>149</v>
      </c>
      <c r="C142" s="13" t="s">
        <v>317</v>
      </c>
      <c r="D142" s="14">
        <v>0.34658564814814813</v>
      </c>
      <c r="E142" s="14">
        <v>0.12475694444444445</v>
      </c>
      <c r="F142" s="14">
        <v>0.18931712962962963</v>
      </c>
      <c r="G142" s="15">
        <v>99.0</v>
      </c>
      <c r="H142" s="16">
        <v>0.31</v>
      </c>
    </row>
    <row r="143" ht="15.75" customHeight="1">
      <c r="A143" s="13">
        <v>142.0</v>
      </c>
      <c r="B143" s="13" t="s">
        <v>150</v>
      </c>
      <c r="C143" s="13" t="s">
        <v>318</v>
      </c>
      <c r="D143" s="14">
        <v>0.3428125</v>
      </c>
      <c r="E143" s="14">
        <v>0.22505787037037037</v>
      </c>
      <c r="F143" s="14">
        <v>0.05189814814814815</v>
      </c>
      <c r="G143" s="15">
        <v>100.0</v>
      </c>
      <c r="H143" s="16">
        <v>0.58</v>
      </c>
    </row>
    <row r="144" ht="15.75" customHeight="1">
      <c r="A144" s="13">
        <v>143.0</v>
      </c>
      <c r="B144" s="13" t="s">
        <v>151</v>
      </c>
      <c r="C144" s="13" t="s">
        <v>319</v>
      </c>
      <c r="D144" s="14">
        <v>0.35055555555555556</v>
      </c>
      <c r="E144" s="14">
        <v>0.11953703703703704</v>
      </c>
      <c r="F144" s="14">
        <v>0.21081018518518518</v>
      </c>
      <c r="G144" s="15">
        <v>101.0</v>
      </c>
      <c r="H144" s="16">
        <v>0.32</v>
      </c>
    </row>
    <row r="145" ht="15.75" customHeight="1">
      <c r="A145" s="13">
        <v>144.0</v>
      </c>
      <c r="B145" s="13" t="s">
        <v>152</v>
      </c>
      <c r="C145" s="13" t="s">
        <v>320</v>
      </c>
      <c r="D145" s="14">
        <v>0.34575231481481483</v>
      </c>
      <c r="E145" s="14">
        <v>0.2026851851851852</v>
      </c>
      <c r="F145" s="14">
        <v>0.0500462962962963</v>
      </c>
      <c r="G145" s="15">
        <v>102.0</v>
      </c>
      <c r="H145" s="16">
        <v>0.56</v>
      </c>
    </row>
    <row r="146" ht="15.75" customHeight="1">
      <c r="A146" s="13">
        <v>145.0</v>
      </c>
      <c r="B146" s="13" t="s">
        <v>153</v>
      </c>
      <c r="C146" s="13" t="s">
        <v>321</v>
      </c>
      <c r="D146" s="14">
        <v>0.35479166666666667</v>
      </c>
      <c r="E146" s="14">
        <v>0.21916666666666668</v>
      </c>
      <c r="F146" s="14">
        <v>0.03894675925925926</v>
      </c>
      <c r="G146" s="15">
        <v>103.0</v>
      </c>
      <c r="H146" s="16">
        <v>0.55</v>
      </c>
    </row>
    <row r="147" ht="15.75" customHeight="1">
      <c r="A147" s="13">
        <v>146.0</v>
      </c>
      <c r="B147" s="13" t="s">
        <v>154</v>
      </c>
      <c r="C147" s="13" t="s">
        <v>322</v>
      </c>
      <c r="D147" s="14">
        <v>0.36542824074074076</v>
      </c>
      <c r="E147" s="14">
        <v>0.15059027777777778</v>
      </c>
      <c r="F147" s="14">
        <v>0.1684027777777778</v>
      </c>
      <c r="G147" s="15">
        <v>104.0</v>
      </c>
      <c r="H147" s="16">
        <v>0.38</v>
      </c>
    </row>
    <row r="148" ht="15.75" customHeight="1">
      <c r="A148" s="13">
        <v>147.0</v>
      </c>
      <c r="B148" s="13" t="s">
        <v>155</v>
      </c>
      <c r="C148" s="13" t="s">
        <v>323</v>
      </c>
      <c r="D148" s="14">
        <v>0.3437037037037037</v>
      </c>
      <c r="E148" s="14">
        <v>0.21891203703703704</v>
      </c>
      <c r="F148" s="14">
        <v>0.05012731481481481</v>
      </c>
      <c r="G148" s="15">
        <v>105.0</v>
      </c>
      <c r="H148" s="16">
        <v>0.57</v>
      </c>
    </row>
    <row r="149" ht="15.75" customHeight="1">
      <c r="A149" s="13">
        <v>148.0</v>
      </c>
      <c r="B149" s="13" t="s">
        <v>156</v>
      </c>
      <c r="C149" s="13" t="s">
        <v>324</v>
      </c>
      <c r="D149" s="14">
        <v>0.20827546296296295</v>
      </c>
      <c r="E149" s="14">
        <v>0.1310300925925926</v>
      </c>
      <c r="F149" s="14">
        <v>0.010451388888888889</v>
      </c>
      <c r="G149" s="15">
        <v>106.0</v>
      </c>
      <c r="H149" s="16">
        <v>0.6</v>
      </c>
    </row>
    <row r="150" ht="15.75" customHeight="1">
      <c r="A150" s="13">
        <v>149.0</v>
      </c>
      <c r="B150" s="13" t="s">
        <v>157</v>
      </c>
      <c r="C150" s="13" t="s">
        <v>325</v>
      </c>
      <c r="D150" s="14">
        <v>0.3568865740740741</v>
      </c>
      <c r="E150" s="14">
        <v>0.1936226851851852</v>
      </c>
      <c r="F150" s="14">
        <v>0.09503472222222223</v>
      </c>
      <c r="G150" s="15">
        <v>107.0</v>
      </c>
      <c r="H150" s="16">
        <v>0.5</v>
      </c>
    </row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0" footer="0.0" header="0.0" left="0.0" right="0.0" top="0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3" width="12.63"/>
    <col customWidth="1" min="4" max="4" width="21.25"/>
    <col customWidth="1" min="5" max="6" width="12.63"/>
    <col customWidth="1" min="10" max="10" width="18.38"/>
  </cols>
  <sheetData>
    <row r="1" ht="15.75" customHeight="1">
      <c r="A1" s="17" t="s">
        <v>326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9"/>
      <c r="Q1" s="18"/>
      <c r="R1" s="18"/>
      <c r="S1" s="18"/>
      <c r="T1" s="18"/>
      <c r="U1" s="20"/>
      <c r="V1" s="20"/>
      <c r="W1" s="20"/>
      <c r="X1" s="20"/>
      <c r="Y1" s="20"/>
      <c r="Z1" s="20"/>
    </row>
    <row r="2" ht="25.5" customHeight="1">
      <c r="A2" s="21"/>
      <c r="P2" s="21"/>
      <c r="U2" s="20"/>
      <c r="V2" s="20"/>
      <c r="W2" s="20"/>
      <c r="X2" s="20"/>
      <c r="Y2" s="20"/>
      <c r="Z2" s="20"/>
    </row>
    <row r="3" ht="4.5" customHeight="1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ht="15.75" customHeight="1">
      <c r="A4" s="20"/>
      <c r="B4" s="20"/>
      <c r="C4" s="20"/>
      <c r="D4" s="22" t="s">
        <v>327</v>
      </c>
      <c r="E4" s="23"/>
      <c r="F4" s="20"/>
      <c r="G4" s="24" t="s">
        <v>328</v>
      </c>
      <c r="H4" s="23"/>
      <c r="I4" s="20"/>
      <c r="J4" s="25" t="s">
        <v>329</v>
      </c>
      <c r="K4" s="23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ht="15.75" customHeight="1">
      <c r="A5" s="20"/>
      <c r="B5" s="20"/>
      <c r="C5" s="20"/>
      <c r="D5" s="26">
        <f>COUNT(Summary!A2:A150)</f>
        <v>149</v>
      </c>
      <c r="E5" s="27"/>
      <c r="F5" s="20"/>
      <c r="G5" s="28">
        <f>SUM(Summary!G2:G150)</f>
        <v>9404</v>
      </c>
      <c r="H5" s="27"/>
      <c r="I5" s="20"/>
      <c r="J5" s="29">
        <f>SUM(Summary!D2:D150)</f>
        <v>49.79454861</v>
      </c>
      <c r="K5" s="27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ht="15.75" customHeight="1">
      <c r="A6" s="20"/>
      <c r="B6" s="20"/>
      <c r="C6" s="20"/>
      <c r="D6" s="30"/>
      <c r="E6" s="31"/>
      <c r="F6" s="20"/>
      <c r="G6" s="30"/>
      <c r="H6" s="31"/>
      <c r="I6" s="20"/>
      <c r="J6" s="30"/>
      <c r="K6" s="31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ht="15.75" customHeight="1">
      <c r="A7" s="20"/>
      <c r="B7" s="20"/>
      <c r="C7" s="20"/>
      <c r="D7" s="30"/>
      <c r="E7" s="31"/>
      <c r="F7" s="20"/>
      <c r="G7" s="30"/>
      <c r="H7" s="31"/>
      <c r="I7" s="20"/>
      <c r="J7" s="30"/>
      <c r="K7" s="31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ht="15.75" customHeight="1">
      <c r="A8" s="20"/>
      <c r="B8" s="20"/>
      <c r="C8" s="20"/>
      <c r="D8" s="32"/>
      <c r="E8" s="33"/>
      <c r="F8" s="20"/>
      <c r="G8" s="32"/>
      <c r="H8" s="33"/>
      <c r="I8" s="20"/>
      <c r="J8" s="32"/>
      <c r="K8" s="33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15.75" customHeight="1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ht="15.75" customHeight="1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15.75" customHeight="1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ht="15.75" customHeight="1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ht="15.75" customHeight="1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ht="15.75" customHeight="1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ht="15.75" customHeight="1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ht="15.7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ht="15.75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ht="15.75" customHeight="1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ht="15.75" customHeight="1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ht="15.75" customHeight="1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ht="15.7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ht="15.7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ht="15.7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ht="15.7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ht="15.75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ht="15.7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ht="15.7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ht="15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ht="15.7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ht="15.7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ht="15.75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ht="15.7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ht="15.7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ht="15.7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ht="15.7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ht="15.7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ht="15.7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ht="15.7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ht="15.7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ht="15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ht="15.7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ht="15.7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ht="15.7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ht="15.7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ht="15.7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ht="15.7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ht="15.7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ht="15.7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15.7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ht="15.7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ht="15.7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ht="15.7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ht="15.7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ht="15.7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ht="15.7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ht="15.7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ht="15.7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ht="15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ht="15.7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ht="15.7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ht="15.75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ht="15.75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ht="15.7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ht="15.7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ht="15.7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ht="15.7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ht="15.75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ht="15.75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ht="15.7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ht="15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ht="15.7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ht="15.7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ht="15.75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ht="15.7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ht="15.7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ht="15.7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ht="15.7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ht="15.7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ht="15.75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ht="15.7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ht="15.7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ht="15.7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ht="15.7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ht="15.7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ht="15.75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ht="15.7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ht="15.7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ht="15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ht="15.7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ht="15.7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ht="15.75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ht="15.7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ht="15.7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ht="15.7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ht="15.7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ht="15.7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ht="15.75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ht="15.7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ht="15.7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ht="15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ht="15.7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ht="15.7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ht="15.75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ht="15.7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ht="15.7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ht="15.7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ht="15.7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ht="15.7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ht="15.75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ht="15.75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ht="15.75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ht="15.75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ht="15.75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ht="15.75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ht="15.75" customHeight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ht="15.75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ht="15.75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ht="15.75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ht="15.75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ht="15.75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ht="15.75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ht="15.75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ht="15.75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ht="15.75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ht="15.75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ht="15.75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ht="15.75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ht="15.75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ht="15.75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ht="15.75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ht="15.75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ht="15.75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ht="15.75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ht="15.75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ht="15.75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ht="15.75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ht="15.75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ht="15.75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ht="15.75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ht="15.75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ht="15.75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ht="15.75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ht="15.75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ht="15.75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ht="15.75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ht="15.75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ht="15.75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ht="15.75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ht="15.75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ht="15.75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ht="15.75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ht="15.75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ht="15.75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ht="15.75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ht="15.75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ht="15.7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ht="15.7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ht="15.7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ht="15.7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ht="15.7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ht="15.75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ht="15.7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ht="15.75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ht="15.7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ht="15.75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ht="15.75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ht="15.7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ht="15.7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ht="15.7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ht="15.7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ht="15.7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ht="15.7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ht="15.7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ht="15.7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ht="15.75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ht="15.7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ht="15.7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ht="15.7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ht="15.7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ht="15.7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ht="15.7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ht="15.7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ht="15.7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ht="15.7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ht="15.7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ht="15.7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ht="15.7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ht="15.7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ht="15.7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ht="15.7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ht="15.7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ht="15.7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ht="15.7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ht="15.7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ht="15.7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ht="15.7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ht="15.7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ht="15.7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ht="15.7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ht="15.7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ht="15.75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ht="15.7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ht="15.7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ht="15.7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ht="15.7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ht="15.7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ht="15.7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ht="15.7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ht="15.7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ht="15.7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ht="15.7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ht="15.7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ht="15.75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ht="15.7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ht="15.75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ht="15.75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ht="15.7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ht="15.75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ht="15.75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ht="15.7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O2"/>
    <mergeCell ref="P1:T2"/>
    <mergeCell ref="D4:E4"/>
    <mergeCell ref="G4:H4"/>
    <mergeCell ref="J4:K4"/>
    <mergeCell ref="D5:E8"/>
    <mergeCell ref="G5:H8"/>
    <mergeCell ref="J5:K8"/>
  </mergeCells>
  <printOptions/>
  <pageMargins bottom="0.0" footer="0.0" header="0.0" left="0.0" right="0.0" top="0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>
      <c r="A2" s="34" t="str">
        <f>IFERROR(__xludf.DUMMYFUNCTION("IFERROR(__xludf.UNSUPPORTED(QUERY(Summary!C:D, ""select C,D order by D desc limit 5"", 1)),""Emp Name"")"),"Emp Name")</f>
        <v>Emp Name</v>
      </c>
      <c r="B2" s="34" t="str">
        <f>IFERROR(__xludf.UNSUPPORTED("""COMPUTED_VALUE"""),"Total Number of woking hours")</f>
        <v>Total Number of woking hours</v>
      </c>
      <c r="H2" s="34" t="str">
        <f>IFERROR(__xludf.DUMMYFUNCTION("IFERROR(__xludf.UNSUPPORTED(QUERY(Summary!C:H, ""select C,H order by H desc limit 5"", 1)),""Emp Name"")"),"Emp Name")</f>
        <v>Emp Name</v>
      </c>
      <c r="I2" s="34" t="str">
        <f>IFERROR(__xludf.UNSUPPORTED("""COMPUTED_VALUE"""),"Active With Cust.")</f>
        <v>Active With Cust.</v>
      </c>
    </row>
    <row r="3" ht="15.75" customHeight="1">
      <c r="A3" s="34" t="str">
        <f>IFERROR(__xludf.UNSUPPORTED("""COMPUTED_VALUE"""),"Anjali Deoram")</f>
        <v>Anjali Deoram</v>
      </c>
      <c r="B3" s="35">
        <f>IFERROR(__xludf.UNSUPPORTED("""COMPUTED_VALUE"""),0.386469907407445)</f>
        <v>0.3864699074</v>
      </c>
      <c r="H3" s="34" t="str">
        <f>IFERROR(__xludf.UNSUPPORTED("""COMPUTED_VALUE"""),"Anita Dixit")</f>
        <v>Anita Dixit</v>
      </c>
      <c r="I3" s="36">
        <f>IFERROR(__xludf.UNSUPPORTED("""COMPUTED_VALUE"""),0.66)</f>
        <v>0.66</v>
      </c>
    </row>
    <row r="4" ht="15.75" customHeight="1">
      <c r="A4" s="34" t="str">
        <f>IFERROR(__xludf.UNSUPPORTED("""COMPUTED_VALUE"""),"Sheena Joseph")</f>
        <v>Sheena Joseph</v>
      </c>
      <c r="B4" s="35">
        <f>IFERROR(__xludf.UNSUPPORTED("""COMPUTED_VALUE"""),0.367754629631235)</f>
        <v>0.3677546296</v>
      </c>
      <c r="H4" s="34" t="str">
        <f>IFERROR(__xludf.UNSUPPORTED("""COMPUTED_VALUE"""),"Deepak Kumar")</f>
        <v>Deepak Kumar</v>
      </c>
      <c r="I4" s="36">
        <f t="shared" ref="I4:I5" si="1">IFERROR(__xludf.UNSUPPORTED("""COMPUTED_VALUE"""),0.65)</f>
        <v>0.65</v>
      </c>
    </row>
    <row r="5" ht="15.75" customHeight="1">
      <c r="A5" s="34" t="str">
        <f>IFERROR(__xludf.UNSUPPORTED("""COMPUTED_VALUE"""),"Tahira Qureshi")</f>
        <v>Tahira Qureshi</v>
      </c>
      <c r="B5" s="35">
        <f>IFERROR(__xludf.UNSUPPORTED("""COMPUTED_VALUE"""),0.365428240740584)</f>
        <v>0.3654282407</v>
      </c>
      <c r="H5" s="34" t="str">
        <f>IFERROR(__xludf.UNSUPPORTED("""COMPUTED_VALUE"""),"Kavita Sharma")</f>
        <v>Kavita Sharma</v>
      </c>
      <c r="I5" s="36">
        <f t="shared" si="1"/>
        <v>0.65</v>
      </c>
    </row>
    <row r="6" ht="15.75" customHeight="1">
      <c r="A6" s="34" t="str">
        <f>IFERROR(__xludf.UNSUPPORTED("""COMPUTED_VALUE"""),"Tasneem Khan")</f>
        <v>Tasneem Khan</v>
      </c>
      <c r="B6" s="35">
        <f>IFERROR(__xludf.UNSUPPORTED("""COMPUTED_VALUE"""),0.356886574074451)</f>
        <v>0.3568865741</v>
      </c>
      <c r="H6" s="34" t="str">
        <f>IFERROR(__xludf.UNSUPPORTED("""COMPUTED_VALUE"""),"Kamini Kumar")</f>
        <v>Kamini Kumar</v>
      </c>
      <c r="I6" s="36">
        <f>IFERROR(__xludf.UNSUPPORTED("""COMPUTED_VALUE"""),0.64)</f>
        <v>0.64</v>
      </c>
    </row>
    <row r="7" ht="15.75" customHeight="1">
      <c r="A7" s="34" t="str">
        <f>IFERROR(__xludf.UNSUPPORTED("""COMPUTED_VALUE"""),"Surendranath Thakur")</f>
        <v>Surendranath Thakur</v>
      </c>
      <c r="B7" s="35">
        <f>IFERROR(__xludf.UNSUPPORTED("""COMPUTED_VALUE"""),0.35686342592453)</f>
        <v>0.3568634259</v>
      </c>
      <c r="E7" s="34" t="str">
        <f>IFERROR(__xludf.DUMMYFUNCTION("IFERROR(__xludf.UNSUPPORTED(QUERY(Summary!C:G, ""select C,G order by G desc limit 5"", 1)),""Emp Name"")"),"Emp Name")</f>
        <v>Emp Name</v>
      </c>
      <c r="F7" s="34" t="str">
        <f>IFERROR(__xludf.UNSUPPORTED("""COMPUTED_VALUE"""),"Attended Calls")</f>
        <v>Attended Calls</v>
      </c>
      <c r="H7" s="34" t="str">
        <f>IFERROR(__xludf.UNSUPPORTED("""COMPUTED_VALUE"""),"Mercy Thampi")</f>
        <v>Mercy Thampi</v>
      </c>
      <c r="I7" s="36">
        <f>IFERROR(__xludf.UNSUPPORTED("""COMPUTED_VALUE"""),0.63)</f>
        <v>0.63</v>
      </c>
    </row>
    <row r="8" ht="15.75" customHeight="1">
      <c r="E8" s="34" t="str">
        <f>IFERROR(__xludf.UNSUPPORTED("""COMPUTED_VALUE"""),"Tasneem Khan")</f>
        <v>Tasneem Khan</v>
      </c>
      <c r="F8" s="34">
        <f>IFERROR(__xludf.UNSUPPORTED("""COMPUTED_VALUE"""),107)</f>
        <v>107</v>
      </c>
    </row>
    <row r="9" ht="15.75" customHeight="1">
      <c r="E9" s="34" t="str">
        <f>IFERROR(__xludf.UNSUPPORTED("""COMPUTED_VALUE"""),"Tariq Akhlaq")</f>
        <v>Tariq Akhlaq</v>
      </c>
      <c r="F9" s="34">
        <f>IFERROR(__xludf.UNSUPPORTED("""COMPUTED_VALUE"""),106)</f>
        <v>106</v>
      </c>
    </row>
    <row r="10" ht="15.75" customHeight="1">
      <c r="E10" s="34" t="str">
        <f>IFERROR(__xludf.UNSUPPORTED("""COMPUTED_VALUE"""),"Tapas Chakraborty")</f>
        <v>Tapas Chakraborty</v>
      </c>
      <c r="F10" s="34">
        <f>IFERROR(__xludf.UNSUPPORTED("""COMPUTED_VALUE"""),105)</f>
        <v>105</v>
      </c>
    </row>
    <row r="11" ht="15.75" customHeight="1">
      <c r="E11" s="34" t="str">
        <f>IFERROR(__xludf.UNSUPPORTED("""COMPUTED_VALUE"""),"Tahira Qureshi")</f>
        <v>Tahira Qureshi</v>
      </c>
      <c r="F11" s="34">
        <f>IFERROR(__xludf.UNSUPPORTED("""COMPUTED_VALUE"""),104)</f>
        <v>104</v>
      </c>
    </row>
    <row r="12" ht="15.75" customHeight="1">
      <c r="E12" s="34" t="str">
        <f>IFERROR(__xludf.UNSUPPORTED("""COMPUTED_VALUE"""),"System Operator")</f>
        <v>System Operator</v>
      </c>
      <c r="F12" s="34">
        <f>IFERROR(__xludf.UNSUPPORTED("""COMPUTED_VALUE"""),103)</f>
        <v>103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0" footer="0.0" header="0.0" left="0.0" right="0.0" top="0.0"/>
  <pageSetup orientation="landscape"/>
  <drawing r:id="rId1"/>
</worksheet>
</file>